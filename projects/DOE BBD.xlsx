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87FD3D6-0E9B-4CE1-8BB1-340FD9CF45BE}" xr6:coauthVersionLast="47" xr6:coauthVersionMax="47" xr10:uidLastSave="{00000000-0000-0000-0000-000000000000}"/>
  <bookViews>
    <workbookView xWindow="-108" yWindow="-108" windowWidth="23256" windowHeight="13896" xr2:uid="{873E4420-321B-43BD-B96C-4DEF49CFE9A2}"/>
  </bookViews>
  <sheets>
    <sheet name="Feuil2" sheetId="3" r:id="rId1"/>
    <sheet name="Rapport de solution 1" sheetId="4" r:id="rId2"/>
    <sheet name="Rapport de sensibilité 1" sheetId="5" r:id="rId3"/>
    <sheet name="Rapport des limites 1" sheetId="6" r:id="rId4"/>
    <sheet name="Feuil1" sheetId="1" r:id="rId5"/>
  </sheets>
  <definedNames>
    <definedName name="solver_adj" localSheetId="4" hidden="1">Feuil1!$Q$5:$Q$7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Feuil1!$Q$5:$Q$7</definedName>
    <definedName name="solver_lhs2" localSheetId="4" hidden="1">Feuil1!$Q$5:$Q$7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Feuil1!$K$20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3</definedName>
    <definedName name="solver_rhs1" localSheetId="4" hidden="1">1</definedName>
    <definedName name="solver_rhs2" localSheetId="4" hidden="1">-1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ho" localSheetId="3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0.18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" i="1" l="1"/>
  <c r="R7" i="1"/>
  <c r="R5" i="1"/>
  <c r="K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O3" i="1" s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2" i="1"/>
  <c r="O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<sst xmlns="http://schemas.openxmlformats.org/spreadsheetml/2006/main" count="159" uniqueCount="102">
  <si>
    <t>Essai</t>
  </si>
  <si>
    <t>Facteur A (T)</t>
  </si>
  <si>
    <t>Facteur C (t)</t>
  </si>
  <si>
    <t>Température (°C)</t>
  </si>
  <si>
    <t>Humidité Cible (%)</t>
  </si>
  <si>
    <t>Temps (h)</t>
  </si>
  <si>
    <t>Facteur B (M_cible)</t>
  </si>
  <si>
    <t>Réponse Y : M_mesurée (%)</t>
  </si>
  <si>
    <t>ab</t>
  </si>
  <si>
    <t>ac</t>
  </si>
  <si>
    <t>bc</t>
  </si>
  <si>
    <t>a2</t>
  </si>
  <si>
    <t>b2</t>
  </si>
  <si>
    <t>c2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</si>
  <si>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</si>
  <si>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</si>
  <si>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</si>
  <si>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</si>
  <si>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</si>
  <si>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</si>
  <si>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</si>
  <si>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</si>
  <si>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</si>
  <si>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</si>
  <si>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</si>
  <si>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</si>
  <si>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</si>
  <si>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</si>
  <si>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</si>
  <si>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</si>
  <si>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</si>
  <si>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</si>
  <si>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</si>
  <si>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</si>
  <si>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</si>
  <si>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</si>
  <si>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</si>
  <si>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Variable X 1</t>
  </si>
  <si>
    <t>Variable X 2</t>
  </si>
  <si>
    <t>Variable X 3</t>
  </si>
  <si>
    <t>Variable X 4</t>
  </si>
  <si>
    <t>Variable X 5</t>
  </si>
  <si>
    <t>Variable X 6</t>
  </si>
  <si>
    <t>Variable X 7</t>
  </si>
  <si>
    <t>Variable X 8</t>
  </si>
  <si>
    <t>Variable X 9</t>
  </si>
  <si>
    <t>Y predictions</t>
  </si>
  <si>
    <t>Microsoft Excel 16.0 Rapport de solution</t>
  </si>
  <si>
    <t>Feuille : [Classeur1.xlsx]Feuil1</t>
  </si>
  <si>
    <t>Date du rapport : 22/07/2026 20:42:14</t>
  </si>
  <si>
    <t>Résultat : Le Solveur a trouvé une solution satisfaisant toutes les contraintes et les conditions d’optimisation.</t>
  </si>
  <si>
    <t>Moteur du solveur</t>
  </si>
  <si>
    <t>Moteur : GRG non linéaire</t>
  </si>
  <si>
    <t>Heure de la solution : 0,094 secondes.</t>
  </si>
  <si>
    <t>Itérations : 2 Sous-problèmes : 0</t>
  </si>
  <si>
    <t>Options du solveur</t>
  </si>
  <si>
    <t>Temps max Illimité,  Itérations Illimité, Precision 0,000001</t>
  </si>
  <si>
    <t xml:space="preserve"> Convergence 0,0001, Taille de la population 100, Valeur de départ aléatoire 0, Dérivées - Central</t>
  </si>
  <si>
    <t>Sous-problèmes max Illimité, Solutions de nombre entier max Illimité, Tolérance des nombres entiers 1%, Supposé non négatif</t>
  </si>
  <si>
    <t>Cellule objectif (Valeur)</t>
  </si>
  <si>
    <t>Cellule</t>
  </si>
  <si>
    <t>Nom</t>
  </si>
  <si>
    <t>Valeur initiale</t>
  </si>
  <si>
    <t>Valeur finale</t>
  </si>
  <si>
    <t>Cellules variables</t>
  </si>
  <si>
    <t>Entier</t>
  </si>
  <si>
    <t>Contraintes</t>
  </si>
  <si>
    <t>Valeur de la cellule</t>
  </si>
  <si>
    <t>Formule</t>
  </si>
  <si>
    <t>État</t>
  </si>
  <si>
    <t>Marge</t>
  </si>
  <si>
    <t>$K$20</t>
  </si>
  <si>
    <t>$Q$5</t>
  </si>
  <si>
    <t>Suite</t>
  </si>
  <si>
    <t>$Q$6</t>
  </si>
  <si>
    <t>$Q$7</t>
  </si>
  <si>
    <t>Lié</t>
  </si>
  <si>
    <t>$Q$5&lt;=1</t>
  </si>
  <si>
    <t>Non lié</t>
  </si>
  <si>
    <t>$Q$6&lt;=1</t>
  </si>
  <si>
    <t>$Q$7&lt;=1</t>
  </si>
  <si>
    <t>$Q$5&gt;=-1</t>
  </si>
  <si>
    <t>$Q$6&gt;=-1</t>
  </si>
  <si>
    <t>$Q$7&gt;=-1</t>
  </si>
  <si>
    <t>Microsoft Excel 16.0 Rapport de sensibilité</t>
  </si>
  <si>
    <t>Finale</t>
  </si>
  <si>
    <t>Valeur</t>
  </si>
  <si>
    <t>Gradient</t>
  </si>
  <si>
    <t>de Lagrange</t>
  </si>
  <si>
    <t>Multiplicateur</t>
  </si>
  <si>
    <t>Microsoft Excel 16.0 Rapport des limites</t>
  </si>
  <si>
    <t>Date du rapport : 22/07/2026 20:42:15</t>
  </si>
  <si>
    <t>Objectif</t>
  </si>
  <si>
    <t>Variable</t>
  </si>
  <si>
    <t>Inférieure</t>
  </si>
  <si>
    <t>Limite</t>
  </si>
  <si>
    <t>Résultat</t>
  </si>
  <si>
    <t>Supérieure</t>
  </si>
  <si>
    <t>Température (°C) optimale</t>
  </si>
  <si>
    <t>Humidité Cible (%) optimale</t>
  </si>
  <si>
    <t>Temps repos (h) optimale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</si>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</sst>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0" fillId="0" borderId="2" xfId="0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Continuous"/>
    </xf>
    <xf numFmtId="9" fontId="1" fillId="0" borderId="3" xfId="1" applyFont="1" applyBorder="1" applyAlignment="1">
      <alignment vertical="center" wrapText="1" readingOrder="1"/>
    </xf>
    <xf numFmtId="9" fontId="0" fillId="0" borderId="2" xfId="1" applyFont="1" applyBorder="1"/>
    <xf numFmtId="0" fontId="0" fillId="0" borderId="2" xfId="1" applyNumberFormat="1" applyFont="1" applyBorder="1"/>
    <xf numFmtId="0" fontId="5" fillId="0" borderId="0" xfId="0" applyFont="1"/>
    <xf numFmtId="0" fontId="0" fillId="0" borderId="9" xfId="0" applyFill="1" applyBorder="1" applyAlignment="1"/>
    <xf numFmtId="0" fontId="6" fillId="0" borderId="8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9" xfId="0" applyNumberFormat="1" applyFill="1" applyBorder="1" applyAlignment="1"/>
    <xf numFmtId="0" fontId="0" fillId="0" borderId="10" xfId="0" applyNumberFormat="1" applyFill="1" applyBorder="1" applyAlignment="1"/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0" fillId="0" borderId="0" xfId="0" applyBorder="1"/>
    <xf numFmtId="0" fontId="1" fillId="0" borderId="0" xfId="1" applyNumberFormat="1" applyFont="1" applyBorder="1" applyAlignment="1">
      <alignment vertical="center" wrapText="1" readingOrder="1"/>
    </xf>
    <xf numFmtId="164" fontId="0" fillId="0" borderId="0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EF4C-4EAE-4ABB-AE39-4F5C99FFF5F8}">
  <dimension ref="A1:I26"/>
  <sheetViews>
    <sheetView tabSelected="1" workbookViewId="0">
      <selection activeCell="E21" sqref="E21"/>
    </sheetView>
  </sheetViews>
  <sheetFormatPr baseColWidth="10" defaultRowHeight="15" x14ac:dyDescent="0.25"/>
  <cols>
    <col min="1" max="1" width="37.453125" customWidth="1"/>
    <col min="2" max="2" width="34.08984375" customWidth="1"/>
    <col min="3" max="3" width="20.1796875" customWidth="1"/>
    <col min="4" max="4" width="22" customWidth="1"/>
    <col min="8" max="8" width="10.7265625" customWidth="1"/>
    <col min="9" max="9" width="17.36328125" customWidth="1"/>
  </cols>
  <sheetData>
    <row r="1" spans="1:9" x14ac:dyDescent="0.25">
      <c r="A1" t="s">
        <v>14</v>
      </c>
    </row>
    <row r="2" spans="1:9" ht="15.6" thickBot="1" x14ac:dyDescent="0.3"/>
    <row r="3" spans="1:9" ht="15.6" x14ac:dyDescent="0.3">
      <c r="A3" s="8" t="s">
        <v>15</v>
      </c>
      <c r="B3" s="8"/>
    </row>
    <row r="4" spans="1:9" x14ac:dyDescent="0.25">
      <c r="A4" s="5" t="s">
        <v>16</v>
      </c>
      <c r="B4" s="5">
        <v>0.99978756721257955</v>
      </c>
    </row>
    <row r="5" spans="1:9" x14ac:dyDescent="0.25">
      <c r="A5" s="5" t="s">
        <v>17</v>
      </c>
      <c r="B5" s="5">
        <v>0.99957517955284836</v>
      </c>
    </row>
    <row r="6" spans="1:9" x14ac:dyDescent="0.25">
      <c r="A6" s="5" t="s">
        <v>17</v>
      </c>
      <c r="B6" s="5">
        <v>0.99881050274797545</v>
      </c>
    </row>
    <row r="7" spans="1:9" x14ac:dyDescent="0.25">
      <c r="A7" s="5" t="s">
        <v>18</v>
      </c>
      <c r="B7" s="5">
        <v>3.099558640965692E-4</v>
      </c>
    </row>
    <row r="8" spans="1:9" ht="15.6" thickBot="1" x14ac:dyDescent="0.3">
      <c r="A8" s="6" t="s">
        <v>19</v>
      </c>
      <c r="B8" s="6">
        <v>15</v>
      </c>
    </row>
    <row r="10" spans="1:9" ht="15.6" thickBot="1" x14ac:dyDescent="0.3">
      <c r="A10" t="s">
        <v>20</v>
      </c>
    </row>
    <row r="11" spans="1:9" ht="15.6" x14ac:dyDescent="0.3">
      <c r="A11" s="7"/>
      <c r="B11" s="7" t="s">
        <v>25</v>
      </c>
      <c r="C11" s="7" t="s">
        <v>26</v>
      </c>
      <c r="D11" s="7" t="s">
        <v>27</v>
      </c>
      <c r="E11" s="7" t="s">
        <v>28</v>
      </c>
      <c r="F11" s="7" t="s">
        <v>29</v>
      </c>
    </row>
    <row r="12" spans="1:9" x14ac:dyDescent="0.25">
      <c r="A12" s="5" t="s">
        <v>21</v>
      </c>
      <c r="B12" s="5">
        <v>9</v>
      </c>
      <c r="C12" s="5">
        <v>1.1302636762290021E-3</v>
      </c>
      <c r="D12" s="5">
        <v>1.2558485291433357E-4</v>
      </c>
      <c r="E12" s="5">
        <v>1307.1864782392122</v>
      </c>
      <c r="F12" s="5">
        <v>6.920926980098075E-8</v>
      </c>
    </row>
    <row r="13" spans="1:9" x14ac:dyDescent="0.25">
      <c r="A13" s="5" t="s">
        <v>22</v>
      </c>
      <c r="B13" s="5">
        <v>5</v>
      </c>
      <c r="C13" s="5">
        <v>4.8036318843925431E-7</v>
      </c>
      <c r="D13" s="5">
        <v>9.6072637687850862E-8</v>
      </c>
      <c r="E13" s="5"/>
      <c r="F13" s="5"/>
    </row>
    <row r="14" spans="1:9" ht="15.6" thickBot="1" x14ac:dyDescent="0.3">
      <c r="A14" s="6" t="s">
        <v>23</v>
      </c>
      <c r="B14" s="6">
        <v>14</v>
      </c>
      <c r="C14" s="6">
        <v>1.1307440394174415E-3</v>
      </c>
      <c r="D14" s="6"/>
      <c r="E14" s="6"/>
      <c r="F14" s="6"/>
    </row>
    <row r="15" spans="1:9" ht="15.6" thickBot="1" x14ac:dyDescent="0.3"/>
    <row r="16" spans="1:9" ht="15.6" x14ac:dyDescent="0.3">
      <c r="A16" s="7"/>
      <c r="B16" s="7" t="s">
        <v>30</v>
      </c>
      <c r="C16" s="7" t="s">
        <v>18</v>
      </c>
      <c r="D16" s="7" t="s">
        <v>31</v>
      </c>
      <c r="E16" s="7" t="s">
        <v>32</v>
      </c>
      <c r="F16" s="7" t="s">
        <v>33</v>
      </c>
      <c r="G16" s="7" t="s">
        <v>34</v>
      </c>
      <c r="H16" s="7" t="s">
        <v>35</v>
      </c>
      <c r="I16" s="7" t="s">
        <v>36</v>
      </c>
    </row>
    <row r="17" spans="1:9" x14ac:dyDescent="0.25">
      <c r="A17" s="5" t="s">
        <v>24</v>
      </c>
      <c r="B17" s="5">
        <v>0.17666990499999993</v>
      </c>
      <c r="C17" s="5">
        <v>1.7895310157305726E-4</v>
      </c>
      <c r="D17" s="5">
        <v>987.24136909063168</v>
      </c>
      <c r="E17" s="5">
        <v>2.0238688189239499E-14</v>
      </c>
      <c r="F17" s="5">
        <v>0.17620989140766546</v>
      </c>
      <c r="G17" s="5">
        <v>0.1771299185923344</v>
      </c>
      <c r="H17" s="5">
        <v>0.17620989140766546</v>
      </c>
      <c r="I17" s="5">
        <v>0.1771299185923344</v>
      </c>
    </row>
    <row r="18" spans="1:9" x14ac:dyDescent="0.25">
      <c r="A18" s="5" t="s">
        <v>37</v>
      </c>
      <c r="B18" s="5">
        <v>2.3875000001693759E-8</v>
      </c>
      <c r="C18" s="5">
        <v>1.0958594668561002E-4</v>
      </c>
      <c r="D18" s="5">
        <v>2.1786552677405342E-4</v>
      </c>
      <c r="E18" s="5">
        <v>0.99983459357867988</v>
      </c>
      <c r="F18" s="5">
        <v>-2.8167576899103708E-4</v>
      </c>
      <c r="G18" s="5">
        <v>2.8172351899104046E-4</v>
      </c>
      <c r="H18" s="5">
        <v>-2.8167576899103708E-4</v>
      </c>
      <c r="I18" s="5">
        <v>2.8172351899104046E-4</v>
      </c>
    </row>
    <row r="19" spans="1:9" x14ac:dyDescent="0.25">
      <c r="A19" s="5" t="s">
        <v>38</v>
      </c>
      <c r="B19" s="5">
        <v>3.9974003749999988E-3</v>
      </c>
      <c r="C19" s="5">
        <v>1.0958594668561002E-4</v>
      </c>
      <c r="D19" s="5">
        <v>36.477308413168153</v>
      </c>
      <c r="E19" s="5">
        <v>2.9154072626050299E-7</v>
      </c>
      <c r="F19" s="5">
        <v>3.7157007310089601E-3</v>
      </c>
      <c r="G19" s="5">
        <v>4.279100018991038E-3</v>
      </c>
      <c r="H19" s="5">
        <v>3.7157007310089601E-3</v>
      </c>
      <c r="I19" s="5">
        <v>4.279100018991038E-3</v>
      </c>
    </row>
    <row r="20" spans="1:9" x14ac:dyDescent="0.25">
      <c r="A20" s="5" t="s">
        <v>39</v>
      </c>
      <c r="B20" s="5">
        <v>1.0548737250000001E-2</v>
      </c>
      <c r="C20" s="5">
        <v>1.0958594668560999E-4</v>
      </c>
      <c r="D20" s="5">
        <v>96.259945449603734</v>
      </c>
      <c r="E20" s="5">
        <v>2.2938961914339526E-9</v>
      </c>
      <c r="F20" s="5">
        <v>1.0267037606008961E-2</v>
      </c>
      <c r="G20" s="5">
        <v>1.083043689399104E-2</v>
      </c>
      <c r="H20" s="5">
        <v>1.0267037606008961E-2</v>
      </c>
      <c r="I20" s="5">
        <v>1.083043689399104E-2</v>
      </c>
    </row>
    <row r="21" spans="1:9" x14ac:dyDescent="0.25">
      <c r="A21" s="5" t="s">
        <v>40</v>
      </c>
      <c r="B21" s="5">
        <v>1.1308144698407186E-19</v>
      </c>
      <c r="C21" s="5">
        <v>1.549779320482846E-4</v>
      </c>
      <c r="D21" s="5">
        <v>7.2966160723347665E-16</v>
      </c>
      <c r="E21" s="5">
        <v>1</v>
      </c>
      <c r="F21" s="5">
        <v>-3.9838345704779938E-4</v>
      </c>
      <c r="G21" s="5">
        <v>3.983834570477996E-4</v>
      </c>
      <c r="H21" s="5">
        <v>-3.9838345704779938E-4</v>
      </c>
      <c r="I21" s="5">
        <v>3.983834570477996E-4</v>
      </c>
    </row>
    <row r="22" spans="1:9" x14ac:dyDescent="0.25">
      <c r="A22" s="5" t="s">
        <v>41</v>
      </c>
      <c r="B22" s="5">
        <v>-4.7750000002539604E-8</v>
      </c>
      <c r="C22" s="5">
        <v>1.549779320482846E-4</v>
      </c>
      <c r="D22" s="5">
        <v>-3.0810838273195385E-4</v>
      </c>
      <c r="E22" s="5">
        <v>0.99976607999789036</v>
      </c>
      <c r="F22" s="5">
        <v>-3.9843120704780201E-4</v>
      </c>
      <c r="G22" s="5">
        <v>3.9833570704779698E-4</v>
      </c>
      <c r="H22" s="5">
        <v>-3.9843120704780201E-4</v>
      </c>
      <c r="I22" s="5">
        <v>3.9833570704779698E-4</v>
      </c>
    </row>
    <row r="23" spans="1:9" x14ac:dyDescent="0.25">
      <c r="A23" s="5" t="s">
        <v>42</v>
      </c>
      <c r="B23" s="5">
        <v>9.5894075000000452E-4</v>
      </c>
      <c r="C23" s="5">
        <v>1.549779320482846E-4</v>
      </c>
      <c r="D23" s="5">
        <v>6.1875954681163181</v>
      </c>
      <c r="E23" s="5">
        <v>1.6078320844901701E-3</v>
      </c>
      <c r="F23" s="5">
        <v>5.6055729295220497E-4</v>
      </c>
      <c r="G23" s="5">
        <v>1.3573242070478041E-3</v>
      </c>
      <c r="H23" s="5">
        <v>5.6055729295220497E-4</v>
      </c>
      <c r="I23" s="5">
        <v>1.3573242070478041E-3</v>
      </c>
    </row>
    <row r="24" spans="1:9" x14ac:dyDescent="0.25">
      <c r="A24" s="5" t="s">
        <v>43</v>
      </c>
      <c r="B24" s="5">
        <v>-4.7500000039647556E-9</v>
      </c>
      <c r="C24" s="5">
        <v>1.6130614590624336E-4</v>
      </c>
      <c r="D24" s="5">
        <v>-2.9447111126972297E-5</v>
      </c>
      <c r="E24" s="5">
        <v>0.99997764335924444</v>
      </c>
      <c r="F24" s="5">
        <v>-4.1465539864309428E-4</v>
      </c>
      <c r="G24" s="5">
        <v>4.1464589864308638E-4</v>
      </c>
      <c r="H24" s="5">
        <v>-4.1465539864309428E-4</v>
      </c>
      <c r="I24" s="5">
        <v>4.1464589864308638E-4</v>
      </c>
    </row>
    <row r="25" spans="1:9" x14ac:dyDescent="0.25">
      <c r="A25" s="5" t="s">
        <v>44</v>
      </c>
      <c r="B25" s="5">
        <v>-2.0249999996562548E-8</v>
      </c>
      <c r="C25" s="5">
        <v>1.6130614590624339E-4</v>
      </c>
      <c r="D25" s="5">
        <v>-1.2553768415205044E-4</v>
      </c>
      <c r="E25" s="5">
        <v>0.9999046901108426</v>
      </c>
      <c r="F25" s="5">
        <v>-4.1467089864308693E-4</v>
      </c>
      <c r="G25" s="5">
        <v>4.1463039864309383E-4</v>
      </c>
      <c r="H25" s="5">
        <v>-4.1467089864308693E-4</v>
      </c>
      <c r="I25" s="5">
        <v>4.1463039864309383E-4</v>
      </c>
    </row>
    <row r="26" spans="1:9" ht="15.6" thickBot="1" x14ac:dyDescent="0.3">
      <c r="A26" s="6" t="s">
        <v>45</v>
      </c>
      <c r="B26" s="6">
        <v>-5.3920809999999835E-3</v>
      </c>
      <c r="C26" s="6">
        <v>1.6130614590624336E-4</v>
      </c>
      <c r="D26" s="6">
        <v>-33.427622795811175</v>
      </c>
      <c r="E26" s="6">
        <v>4.5042360727271839E-7</v>
      </c>
      <c r="F26" s="6">
        <v>-5.806731648643074E-3</v>
      </c>
      <c r="G26" s="6">
        <v>-4.9774303513568929E-3</v>
      </c>
      <c r="H26" s="6">
        <v>-5.806731648643074E-3</v>
      </c>
      <c r="I26" s="6">
        <v>-4.9774303513568929E-3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0145-F04D-44BB-B6C2-04408B3B6462}">
  <dimension ref="A1:G34"/>
  <sheetViews>
    <sheetView showGridLines="0" workbookViewId="0"/>
  </sheetViews>
  <sheetFormatPr baseColWidth="10" defaultRowHeight="15" x14ac:dyDescent="0.25"/>
  <cols>
    <col min="1" max="1" width="2.1796875" customWidth="1"/>
    <col min="2" max="2" width="6.54296875" bestFit="1" customWidth="1"/>
    <col min="3" max="3" width="14.90625" bestFit="1" customWidth="1"/>
    <col min="4" max="4" width="17" bestFit="1" customWidth="1"/>
    <col min="5" max="5" width="12.08984375" bestFit="1" customWidth="1"/>
    <col min="6" max="6" width="6.1796875" bestFit="1" customWidth="1"/>
    <col min="7" max="7" width="11.81640625" bestFit="1" customWidth="1"/>
  </cols>
  <sheetData>
    <row r="1" spans="1:5" ht="15.6" x14ac:dyDescent="0.3">
      <c r="A1" s="12" t="s">
        <v>47</v>
      </c>
    </row>
    <row r="2" spans="1:5" ht="15.6" x14ac:dyDescent="0.3">
      <c r="A2" s="12" t="s">
        <v>48</v>
      </c>
    </row>
    <row r="3" spans="1:5" ht="15.6" x14ac:dyDescent="0.3">
      <c r="A3" s="12" t="s">
        <v>49</v>
      </c>
    </row>
    <row r="4" spans="1:5" ht="15.6" x14ac:dyDescent="0.3">
      <c r="A4" s="12" t="s">
        <v>50</v>
      </c>
    </row>
    <row r="5" spans="1:5" ht="15.6" x14ac:dyDescent="0.3">
      <c r="A5" s="12" t="s">
        <v>51</v>
      </c>
    </row>
    <row r="6" spans="1:5" ht="15.6" x14ac:dyDescent="0.3">
      <c r="A6" s="12"/>
      <c r="B6" t="s">
        <v>52</v>
      </c>
    </row>
    <row r="7" spans="1:5" ht="15.6" x14ac:dyDescent="0.3">
      <c r="A7" s="12"/>
      <c r="B7" t="s">
        <v>53</v>
      </c>
    </row>
    <row r="8" spans="1:5" ht="15.6" x14ac:dyDescent="0.3">
      <c r="A8" s="12"/>
      <c r="B8" t="s">
        <v>54</v>
      </c>
    </row>
    <row r="9" spans="1:5" ht="15.6" x14ac:dyDescent="0.3">
      <c r="A9" s="12" t="s">
        <v>55</v>
      </c>
    </row>
    <row r="10" spans="1:5" x14ac:dyDescent="0.25">
      <c r="B10" t="s">
        <v>56</v>
      </c>
    </row>
    <row r="11" spans="1:5" x14ac:dyDescent="0.25">
      <c r="B11" t="s">
        <v>57</v>
      </c>
    </row>
    <row r="12" spans="1:5" x14ac:dyDescent="0.25">
      <c r="B12" t="s">
        <v>58</v>
      </c>
    </row>
    <row r="14" spans="1:5" ht="15.6" thickBot="1" x14ac:dyDescent="0.3">
      <c r="A14" t="s">
        <v>59</v>
      </c>
    </row>
    <row r="15" spans="1:5" ht="16.2" thickBot="1" x14ac:dyDescent="0.35">
      <c r="B15" s="14" t="s">
        <v>60</v>
      </c>
      <c r="C15" s="14" t="s">
        <v>61</v>
      </c>
      <c r="D15" s="14" t="s">
        <v>62</v>
      </c>
      <c r="E15" s="14" t="s">
        <v>63</v>
      </c>
    </row>
    <row r="16" spans="1:5" ht="15.6" thickBot="1" x14ac:dyDescent="0.3">
      <c r="B16" s="13" t="s">
        <v>71</v>
      </c>
      <c r="C16" s="13" t="s">
        <v>3</v>
      </c>
      <c r="D16" s="16">
        <v>0.17666990499999999</v>
      </c>
      <c r="E16" s="16">
        <v>0.18000091840375051</v>
      </c>
    </row>
    <row r="19" spans="1:7" ht="15.6" thickBot="1" x14ac:dyDescent="0.3">
      <c r="A19" t="s">
        <v>64</v>
      </c>
    </row>
    <row r="20" spans="1:7" ht="16.2" thickBot="1" x14ac:dyDescent="0.35">
      <c r="B20" s="14" t="s">
        <v>60</v>
      </c>
      <c r="C20" s="14" t="s">
        <v>61</v>
      </c>
      <c r="D20" s="14" t="s">
        <v>62</v>
      </c>
      <c r="E20" s="14" t="s">
        <v>63</v>
      </c>
      <c r="F20" s="14" t="s">
        <v>65</v>
      </c>
    </row>
    <row r="21" spans="1:7" x14ac:dyDescent="0.25">
      <c r="B21" s="15" t="s">
        <v>72</v>
      </c>
      <c r="C21" s="15"/>
      <c r="D21" s="17">
        <v>0</v>
      </c>
      <c r="E21" s="17">
        <v>7.2042426736832535E-7</v>
      </c>
      <c r="F21" s="15" t="s">
        <v>73</v>
      </c>
    </row>
    <row r="22" spans="1:7" x14ac:dyDescent="0.25">
      <c r="B22" s="15" t="s">
        <v>74</v>
      </c>
      <c r="C22" s="15"/>
      <c r="D22" s="17">
        <v>0</v>
      </c>
      <c r="E22" s="17">
        <v>0.12064719942923159</v>
      </c>
      <c r="F22" s="15" t="s">
        <v>73</v>
      </c>
    </row>
    <row r="23" spans="1:7" ht="15.6" thickBot="1" x14ac:dyDescent="0.3">
      <c r="B23" s="13" t="s">
        <v>75</v>
      </c>
      <c r="C23" s="13"/>
      <c r="D23" s="16">
        <v>0</v>
      </c>
      <c r="E23" s="16">
        <v>0.31837584040986283</v>
      </c>
      <c r="F23" s="13" t="s">
        <v>73</v>
      </c>
    </row>
    <row r="26" spans="1:7" ht="15.6" thickBot="1" x14ac:dyDescent="0.3">
      <c r="A26" t="s">
        <v>66</v>
      </c>
    </row>
    <row r="27" spans="1:7" ht="16.2" thickBot="1" x14ac:dyDescent="0.35">
      <c r="B27" s="14" t="s">
        <v>60</v>
      </c>
      <c r="C27" s="14" t="s">
        <v>61</v>
      </c>
      <c r="D27" s="14" t="s">
        <v>67</v>
      </c>
      <c r="E27" s="14" t="s">
        <v>68</v>
      </c>
      <c r="F27" s="14" t="s">
        <v>69</v>
      </c>
      <c r="G27" s="14" t="s">
        <v>70</v>
      </c>
    </row>
    <row r="28" spans="1:7" x14ac:dyDescent="0.25">
      <c r="B28" s="15" t="s">
        <v>71</v>
      </c>
      <c r="C28" s="15" t="s">
        <v>3</v>
      </c>
      <c r="D28" s="17">
        <v>0.18000091840375051</v>
      </c>
      <c r="E28" s="15" t="s">
        <v>71</v>
      </c>
      <c r="F28" s="15" t="s">
        <v>76</v>
      </c>
      <c r="G28" s="15">
        <v>0</v>
      </c>
    </row>
    <row r="29" spans="1:7" x14ac:dyDescent="0.25">
      <c r="B29" s="15" t="s">
        <v>72</v>
      </c>
      <c r="C29" s="15"/>
      <c r="D29" s="17">
        <v>7.2042426736832535E-7</v>
      </c>
      <c r="E29" s="15" t="s">
        <v>77</v>
      </c>
      <c r="F29" s="15" t="s">
        <v>78</v>
      </c>
      <c r="G29" s="15">
        <v>0.99999927957573265</v>
      </c>
    </row>
    <row r="30" spans="1:7" x14ac:dyDescent="0.25">
      <c r="B30" s="15" t="s">
        <v>74</v>
      </c>
      <c r="C30" s="15"/>
      <c r="D30" s="17">
        <v>0.12064719942923159</v>
      </c>
      <c r="E30" s="15" t="s">
        <v>79</v>
      </c>
      <c r="F30" s="15" t="s">
        <v>78</v>
      </c>
      <c r="G30" s="15">
        <v>0.87935280057076837</v>
      </c>
    </row>
    <row r="31" spans="1:7" x14ac:dyDescent="0.25">
      <c r="B31" s="15" t="s">
        <v>75</v>
      </c>
      <c r="C31" s="15"/>
      <c r="D31" s="17">
        <v>0.31837584040986283</v>
      </c>
      <c r="E31" s="15" t="s">
        <v>80</v>
      </c>
      <c r="F31" s="15" t="s">
        <v>78</v>
      </c>
      <c r="G31" s="15">
        <v>0.68162415959013711</v>
      </c>
    </row>
    <row r="32" spans="1:7" x14ac:dyDescent="0.25">
      <c r="B32" s="15" t="s">
        <v>72</v>
      </c>
      <c r="C32" s="15"/>
      <c r="D32" s="17">
        <v>7.2042426736832535E-7</v>
      </c>
      <c r="E32" s="15" t="s">
        <v>81</v>
      </c>
      <c r="F32" s="15" t="s">
        <v>78</v>
      </c>
      <c r="G32" s="17">
        <v>1.0000007204242674</v>
      </c>
    </row>
    <row r="33" spans="2:7" x14ac:dyDescent="0.25">
      <c r="B33" s="15" t="s">
        <v>74</v>
      </c>
      <c r="C33" s="15"/>
      <c r="D33" s="17">
        <v>0.12064719942923159</v>
      </c>
      <c r="E33" s="15" t="s">
        <v>82</v>
      </c>
      <c r="F33" s="15" t="s">
        <v>78</v>
      </c>
      <c r="G33" s="17">
        <v>1.1206471994292315</v>
      </c>
    </row>
    <row r="34" spans="2:7" ht="15.6" thickBot="1" x14ac:dyDescent="0.3">
      <c r="B34" s="13" t="s">
        <v>75</v>
      </c>
      <c r="C34" s="13"/>
      <c r="D34" s="16">
        <v>0.31837584040986283</v>
      </c>
      <c r="E34" s="13" t="s">
        <v>83</v>
      </c>
      <c r="F34" s="13" t="s">
        <v>78</v>
      </c>
      <c r="G34" s="16">
        <v>1.3183758404098629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2716-39EA-4E2B-AA3B-922839C205DC}">
  <dimension ref="A1:E16"/>
  <sheetViews>
    <sheetView showGridLines="0" workbookViewId="0"/>
  </sheetViews>
  <sheetFormatPr baseColWidth="10" defaultRowHeight="15" x14ac:dyDescent="0.25"/>
  <cols>
    <col min="1" max="1" width="2.1796875" customWidth="1"/>
    <col min="2" max="2" width="6.54296875" bestFit="1" customWidth="1"/>
    <col min="3" max="3" width="14.90625" bestFit="1" customWidth="1"/>
    <col min="4" max="4" width="12.08984375" bestFit="1" customWidth="1"/>
    <col min="5" max="5" width="12.453125" bestFit="1" customWidth="1"/>
  </cols>
  <sheetData>
    <row r="1" spans="1:5" ht="15.6" x14ac:dyDescent="0.3">
      <c r="A1" s="12" t="s">
        <v>84</v>
      </c>
    </row>
    <row r="2" spans="1:5" ht="15.6" x14ac:dyDescent="0.3">
      <c r="A2" s="12" t="s">
        <v>48</v>
      </c>
    </row>
    <row r="3" spans="1:5" ht="15.6" x14ac:dyDescent="0.3">
      <c r="A3" s="12" t="s">
        <v>49</v>
      </c>
    </row>
    <row r="6" spans="1:5" ht="15.6" thickBot="1" x14ac:dyDescent="0.3">
      <c r="A6" t="s">
        <v>64</v>
      </c>
    </row>
    <row r="7" spans="1:5" ht="15.6" x14ac:dyDescent="0.3">
      <c r="B7" s="18"/>
      <c r="C7" s="18"/>
      <c r="D7" s="18" t="s">
        <v>85</v>
      </c>
      <c r="E7" s="18" t="s">
        <v>86</v>
      </c>
    </row>
    <row r="8" spans="1:5" ht="16.2" thickBot="1" x14ac:dyDescent="0.35">
      <c r="B8" s="19" t="s">
        <v>60</v>
      </c>
      <c r="C8" s="19" t="s">
        <v>61</v>
      </c>
      <c r="D8" s="19" t="s">
        <v>86</v>
      </c>
      <c r="E8" s="19" t="s">
        <v>87</v>
      </c>
    </row>
    <row r="9" spans="1:5" x14ac:dyDescent="0.25">
      <c r="B9" s="15" t="s">
        <v>72</v>
      </c>
      <c r="C9" s="15"/>
      <c r="D9" s="15">
        <v>7.2042426736832535E-7</v>
      </c>
      <c r="E9" s="15">
        <v>0</v>
      </c>
    </row>
    <row r="10" spans="1:5" x14ac:dyDescent="0.25">
      <c r="B10" s="15" t="s">
        <v>74</v>
      </c>
      <c r="C10" s="15"/>
      <c r="D10" s="15">
        <v>0.12064719942923159</v>
      </c>
      <c r="E10" s="15">
        <v>0</v>
      </c>
    </row>
    <row r="11" spans="1:5" ht="15.6" thickBot="1" x14ac:dyDescent="0.3">
      <c r="B11" s="13" t="s">
        <v>75</v>
      </c>
      <c r="C11" s="13"/>
      <c r="D11" s="13">
        <v>0.31837584040986283</v>
      </c>
      <c r="E11" s="13">
        <v>0</v>
      </c>
    </row>
    <row r="13" spans="1:5" ht="15.6" thickBot="1" x14ac:dyDescent="0.3">
      <c r="A13" t="s">
        <v>66</v>
      </c>
    </row>
    <row r="14" spans="1:5" ht="15.6" x14ac:dyDescent="0.3">
      <c r="B14" s="18"/>
      <c r="C14" s="18"/>
      <c r="D14" s="18" t="s">
        <v>85</v>
      </c>
      <c r="E14" s="18" t="s">
        <v>88</v>
      </c>
    </row>
    <row r="15" spans="1:5" ht="16.2" thickBot="1" x14ac:dyDescent="0.35">
      <c r="B15" s="19" t="s">
        <v>60</v>
      </c>
      <c r="C15" s="19" t="s">
        <v>61</v>
      </c>
      <c r="D15" s="19" t="s">
        <v>86</v>
      </c>
      <c r="E15" s="19" t="s">
        <v>89</v>
      </c>
    </row>
    <row r="16" spans="1:5" ht="15.6" thickBot="1" x14ac:dyDescent="0.3">
      <c r="B16" s="13" t="s">
        <v>71</v>
      </c>
      <c r="C16" s="13" t="s">
        <v>3</v>
      </c>
      <c r="D16" s="13">
        <v>0.18000091840375051</v>
      </c>
      <c r="E16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7924-96CC-4DE2-94D5-ACF989253B56}">
  <dimension ref="A1:J15"/>
  <sheetViews>
    <sheetView showGridLines="0" workbookViewId="0">
      <selection sqref="A1:A3"/>
    </sheetView>
  </sheetViews>
  <sheetFormatPr baseColWidth="10" defaultRowHeight="15" x14ac:dyDescent="0.25"/>
  <cols>
    <col min="1" max="1" width="2.1796875" customWidth="1"/>
    <col min="2" max="2" width="6.54296875" bestFit="1" customWidth="1"/>
    <col min="3" max="3" width="7.7265625" bestFit="1" customWidth="1"/>
    <col min="4" max="4" width="12.08984375" bestFit="1" customWidth="1"/>
    <col min="5" max="5" width="2.1796875" customWidth="1"/>
    <col min="6" max="6" width="12.08984375" bestFit="1" customWidth="1"/>
    <col min="7" max="7" width="7.90625" bestFit="1" customWidth="1"/>
    <col min="8" max="8" width="2.1796875" customWidth="1"/>
    <col min="9" max="9" width="10.1796875" bestFit="1" customWidth="1"/>
    <col min="10" max="10" width="7.90625" bestFit="1" customWidth="1"/>
  </cols>
  <sheetData>
    <row r="1" spans="1:10" ht="15.6" x14ac:dyDescent="0.3">
      <c r="A1" s="12" t="s">
        <v>90</v>
      </c>
    </row>
    <row r="2" spans="1:10" ht="15.6" x14ac:dyDescent="0.3">
      <c r="A2" s="12" t="s">
        <v>48</v>
      </c>
    </row>
    <row r="3" spans="1:10" ht="15.6" x14ac:dyDescent="0.3">
      <c r="A3" s="12" t="s">
        <v>91</v>
      </c>
    </row>
    <row r="5" spans="1:10" ht="15.6" thickBot="1" x14ac:dyDescent="0.3"/>
    <row r="6" spans="1:10" ht="15.6" x14ac:dyDescent="0.3">
      <c r="B6" s="18"/>
      <c r="C6" s="18" t="s">
        <v>92</v>
      </c>
      <c r="D6" s="18"/>
    </row>
    <row r="7" spans="1:10" ht="16.2" thickBot="1" x14ac:dyDescent="0.35">
      <c r="B7" s="19" t="s">
        <v>60</v>
      </c>
      <c r="C7" s="19" t="s">
        <v>61</v>
      </c>
      <c r="D7" s="19" t="s">
        <v>86</v>
      </c>
    </row>
    <row r="8" spans="1:10" ht="15.6" thickBot="1" x14ac:dyDescent="0.3">
      <c r="B8" s="13" t="s">
        <v>71</v>
      </c>
      <c r="C8" s="13" t="s">
        <v>3</v>
      </c>
      <c r="D8" s="16">
        <v>0.18000091840375051</v>
      </c>
    </row>
    <row r="10" spans="1:10" ht="15.6" thickBot="1" x14ac:dyDescent="0.3"/>
    <row r="11" spans="1:10" ht="15.6" x14ac:dyDescent="0.3">
      <c r="B11" s="18"/>
      <c r="C11" s="18" t="s">
        <v>93</v>
      </c>
      <c r="D11" s="18"/>
      <c r="F11" s="18" t="s">
        <v>94</v>
      </c>
      <c r="G11" s="18" t="s">
        <v>92</v>
      </c>
      <c r="I11" s="18" t="s">
        <v>97</v>
      </c>
      <c r="J11" s="18" t="s">
        <v>92</v>
      </c>
    </row>
    <row r="12" spans="1:10" ht="16.2" thickBot="1" x14ac:dyDescent="0.35">
      <c r="B12" s="19" t="s">
        <v>60</v>
      </c>
      <c r="C12" s="19" t="s">
        <v>61</v>
      </c>
      <c r="D12" s="19" t="s">
        <v>86</v>
      </c>
      <c r="F12" s="19" t="s">
        <v>95</v>
      </c>
      <c r="G12" s="19" t="s">
        <v>96</v>
      </c>
      <c r="I12" s="19" t="s">
        <v>95</v>
      </c>
      <c r="J12" s="19" t="s">
        <v>96</v>
      </c>
    </row>
    <row r="13" spans="1:10" x14ac:dyDescent="0.25">
      <c r="B13" s="15" t="s">
        <v>72</v>
      </c>
      <c r="C13" s="15"/>
      <c r="D13" s="17">
        <v>7.2042426736832535E-7</v>
      </c>
      <c r="F13" s="17">
        <v>7.2042426736832535E-7</v>
      </c>
      <c r="G13" s="17">
        <v>0.18000091840375051</v>
      </c>
      <c r="I13" s="17">
        <v>1</v>
      </c>
      <c r="J13" s="17">
        <v>0.1800009224058918</v>
      </c>
    </row>
    <row r="14" spans="1:10" x14ac:dyDescent="0.25">
      <c r="B14" s="15" t="s">
        <v>74</v>
      </c>
      <c r="C14" s="15"/>
      <c r="D14" s="17">
        <v>0.12064719942923159</v>
      </c>
      <c r="F14" s="17">
        <v>0</v>
      </c>
      <c r="G14" s="17">
        <v>0.17948180955354662</v>
      </c>
      <c r="I14" s="17">
        <v>1</v>
      </c>
      <c r="J14" s="17">
        <v>0.18378449295032509</v>
      </c>
    </row>
    <row r="15" spans="1:10" ht="15.6" thickBot="1" x14ac:dyDescent="0.3">
      <c r="B15" s="13" t="s">
        <v>75</v>
      </c>
      <c r="C15" s="13"/>
      <c r="D15" s="16">
        <v>0.31837584040986283</v>
      </c>
      <c r="F15" s="16">
        <v>0</v>
      </c>
      <c r="G15" s="16">
        <v>0.17715217982026174</v>
      </c>
      <c r="I15" s="16">
        <v>1</v>
      </c>
      <c r="J15" s="16">
        <v>0.18242452936629538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E2D2-6052-4DB7-8CD2-D080317FE354}">
  <dimension ref="A1:R30"/>
  <sheetViews>
    <sheetView topLeftCell="B1" workbookViewId="0">
      <selection activeCell="P12" sqref="P12"/>
    </sheetView>
  </sheetViews>
  <sheetFormatPr baseColWidth="10" defaultRowHeight="15" x14ac:dyDescent="0.25"/>
  <cols>
    <col min="2" max="2" width="9.08984375" bestFit="1" customWidth="1"/>
    <col min="3" max="4" width="9.1796875" bestFit="1" customWidth="1"/>
    <col min="6" max="7" width="2.7265625" bestFit="1" customWidth="1"/>
    <col min="8" max="8" width="11.36328125" bestFit="1" customWidth="1"/>
    <col min="9" max="9" width="2.81640625" bestFit="1" customWidth="1"/>
    <col min="10" max="10" width="2.7265625" bestFit="1" customWidth="1"/>
    <col min="15" max="15" width="12.6328125" customWidth="1"/>
    <col min="16" max="16" width="23.36328125" customWidth="1"/>
    <col min="17" max="17" width="11.36328125" bestFit="1" customWidth="1"/>
  </cols>
  <sheetData>
    <row r="1" spans="1:18" ht="63" thickBot="1" x14ac:dyDescent="0.3">
      <c r="A1" s="1" t="s">
        <v>0</v>
      </c>
      <c r="B1" s="1" t="s">
        <v>1</v>
      </c>
      <c r="C1" s="1" t="s">
        <v>6</v>
      </c>
      <c r="D1" s="1" t="s">
        <v>2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" t="s">
        <v>3</v>
      </c>
      <c r="L1" s="1" t="s">
        <v>4</v>
      </c>
      <c r="M1" s="1" t="s">
        <v>5</v>
      </c>
      <c r="N1" s="3" t="s">
        <v>7</v>
      </c>
      <c r="O1" s="4" t="s">
        <v>46</v>
      </c>
    </row>
    <row r="2" spans="1:18" ht="15.6" thickBot="1" x14ac:dyDescent="0.3">
      <c r="A2" s="2">
        <v>1</v>
      </c>
      <c r="B2" s="2">
        <v>-1</v>
      </c>
      <c r="C2" s="2">
        <v>-1</v>
      </c>
      <c r="D2" s="2">
        <v>0</v>
      </c>
      <c r="E2" s="4">
        <f t="shared" ref="E2:E16" si="0">B2*C2</f>
        <v>1</v>
      </c>
      <c r="F2" s="4">
        <f t="shared" ref="F2:F16" si="1">B2*D2</f>
        <v>0</v>
      </c>
      <c r="G2" s="4">
        <f t="shared" ref="G2:G16" si="2">C2*D2</f>
        <v>0</v>
      </c>
      <c r="H2" s="4">
        <f t="shared" ref="H2:H16" si="3">B2*B2</f>
        <v>1</v>
      </c>
      <c r="I2" s="4">
        <f t="shared" ref="I2:I16" si="4">C2*C2</f>
        <v>1</v>
      </c>
      <c r="J2" s="4">
        <f t="shared" ref="J2:J16" si="5">D2*D2</f>
        <v>0</v>
      </c>
      <c r="K2" s="2">
        <v>20</v>
      </c>
      <c r="L2" s="2">
        <v>18</v>
      </c>
      <c r="M2" s="2">
        <v>9</v>
      </c>
      <c r="N2" s="9">
        <v>0.17242743799999999</v>
      </c>
      <c r="O2" s="10">
        <f>0.1766699+0.0039974*C2+0.010548737*D2+0.000958941*G2-0.005392081*J2</f>
        <v>0.17267249999999998</v>
      </c>
    </row>
    <row r="3" spans="1:18" ht="15.6" thickBot="1" x14ac:dyDescent="0.3">
      <c r="A3" s="2">
        <v>2</v>
      </c>
      <c r="B3" s="2">
        <v>1</v>
      </c>
      <c r="C3" s="2">
        <v>-1</v>
      </c>
      <c r="D3" s="2">
        <v>0</v>
      </c>
      <c r="E3" s="4">
        <f t="shared" si="0"/>
        <v>-1</v>
      </c>
      <c r="F3" s="4">
        <f t="shared" si="1"/>
        <v>0</v>
      </c>
      <c r="G3" s="4">
        <f t="shared" si="2"/>
        <v>0</v>
      </c>
      <c r="H3" s="4">
        <f t="shared" si="3"/>
        <v>1</v>
      </c>
      <c r="I3" s="4">
        <f t="shared" si="4"/>
        <v>1</v>
      </c>
      <c r="J3" s="4">
        <f t="shared" si="5"/>
        <v>0</v>
      </c>
      <c r="K3" s="2">
        <v>45</v>
      </c>
      <c r="L3" s="2">
        <v>18</v>
      </c>
      <c r="M3" s="2">
        <v>9</v>
      </c>
      <c r="N3" s="9">
        <v>0.17242743799999999</v>
      </c>
      <c r="O3" s="10">
        <f t="shared" ref="O3:O16" si="6">0.1766699+0.0039974*C3+0.010548737*D3+0.000958941*G3-0.005392081*J3</f>
        <v>0.17267249999999998</v>
      </c>
    </row>
    <row r="4" spans="1:18" ht="15.6" thickBot="1" x14ac:dyDescent="0.3">
      <c r="A4" s="2">
        <v>3</v>
      </c>
      <c r="B4" s="2">
        <v>-1</v>
      </c>
      <c r="C4" s="2">
        <v>1</v>
      </c>
      <c r="D4" s="2">
        <v>0</v>
      </c>
      <c r="E4" s="4">
        <f t="shared" si="0"/>
        <v>-1</v>
      </c>
      <c r="F4" s="4">
        <f t="shared" si="1"/>
        <v>0</v>
      </c>
      <c r="G4" s="4">
        <f t="shared" si="2"/>
        <v>0</v>
      </c>
      <c r="H4" s="4">
        <f t="shared" si="3"/>
        <v>1</v>
      </c>
      <c r="I4" s="4">
        <f t="shared" si="4"/>
        <v>1</v>
      </c>
      <c r="J4" s="4">
        <f t="shared" si="5"/>
        <v>0</v>
      </c>
      <c r="K4" s="2">
        <v>20</v>
      </c>
      <c r="L4" s="2">
        <v>19</v>
      </c>
      <c r="M4" s="2">
        <v>9</v>
      </c>
      <c r="N4" s="9">
        <v>0.18091232199999999</v>
      </c>
      <c r="O4" s="10">
        <f t="shared" si="6"/>
        <v>0.1806673</v>
      </c>
    </row>
    <row r="5" spans="1:18" ht="15.6" thickBot="1" x14ac:dyDescent="0.3">
      <c r="A5" s="2">
        <v>4</v>
      </c>
      <c r="B5" s="2">
        <v>1</v>
      </c>
      <c r="C5" s="2">
        <v>1</v>
      </c>
      <c r="D5" s="2">
        <v>0</v>
      </c>
      <c r="E5" s="4">
        <f t="shared" si="0"/>
        <v>1</v>
      </c>
      <c r="F5" s="4">
        <f t="shared" si="1"/>
        <v>0</v>
      </c>
      <c r="G5" s="4">
        <f t="shared" si="2"/>
        <v>0</v>
      </c>
      <c r="H5" s="4">
        <f t="shared" si="3"/>
        <v>1</v>
      </c>
      <c r="I5" s="4">
        <f t="shared" si="4"/>
        <v>1</v>
      </c>
      <c r="J5" s="4">
        <f t="shared" si="5"/>
        <v>0</v>
      </c>
      <c r="K5" s="2">
        <v>45</v>
      </c>
      <c r="L5" s="2">
        <v>19</v>
      </c>
      <c r="M5" s="2">
        <v>9</v>
      </c>
      <c r="N5" s="9">
        <v>0.18091232199999999</v>
      </c>
      <c r="O5" s="10">
        <f t="shared" si="6"/>
        <v>0.1806673</v>
      </c>
      <c r="P5" s="4" t="s">
        <v>98</v>
      </c>
      <c r="Q5" s="4">
        <v>7.2042426736832535E-7</v>
      </c>
      <c r="R5" s="4">
        <f>32.5+(Q5*12.5)</f>
        <v>32.50000900530334</v>
      </c>
    </row>
    <row r="6" spans="1:18" ht="15.6" thickBot="1" x14ac:dyDescent="0.3">
      <c r="A6" s="2">
        <v>5</v>
      </c>
      <c r="B6" s="2">
        <v>-1</v>
      </c>
      <c r="C6" s="2">
        <v>0</v>
      </c>
      <c r="D6" s="2">
        <v>-1</v>
      </c>
      <c r="E6" s="4">
        <f t="shared" si="0"/>
        <v>0</v>
      </c>
      <c r="F6" s="4">
        <f t="shared" si="1"/>
        <v>1</v>
      </c>
      <c r="G6" s="4">
        <f t="shared" si="2"/>
        <v>0</v>
      </c>
      <c r="H6" s="4">
        <f t="shared" si="3"/>
        <v>1</v>
      </c>
      <c r="I6" s="4">
        <f t="shared" si="4"/>
        <v>0</v>
      </c>
      <c r="J6" s="4">
        <f t="shared" si="5"/>
        <v>1</v>
      </c>
      <c r="K6" s="2">
        <v>20</v>
      </c>
      <c r="L6" s="2">
        <v>18.5</v>
      </c>
      <c r="M6" s="2">
        <v>2</v>
      </c>
      <c r="N6" s="9">
        <v>0.16072898499999999</v>
      </c>
      <c r="O6" s="10">
        <f t="shared" si="6"/>
        <v>0.160729082</v>
      </c>
      <c r="P6" s="4" t="s">
        <v>99</v>
      </c>
      <c r="Q6" s="4">
        <v>0.12064719942923159</v>
      </c>
      <c r="R6" s="4">
        <f>18.5+(Q6*0.5)</f>
        <v>18.560323599714614</v>
      </c>
    </row>
    <row r="7" spans="1:18" ht="15.6" thickBot="1" x14ac:dyDescent="0.3">
      <c r="A7" s="2">
        <v>6</v>
      </c>
      <c r="B7" s="2">
        <v>1</v>
      </c>
      <c r="C7" s="2">
        <v>0</v>
      </c>
      <c r="D7" s="2">
        <v>-1</v>
      </c>
      <c r="E7" s="4">
        <f t="shared" si="0"/>
        <v>0</v>
      </c>
      <c r="F7" s="4">
        <f t="shared" si="1"/>
        <v>-1</v>
      </c>
      <c r="G7" s="4">
        <f t="shared" si="2"/>
        <v>0</v>
      </c>
      <c r="H7" s="4">
        <f t="shared" si="3"/>
        <v>1</v>
      </c>
      <c r="I7" s="4">
        <f t="shared" si="4"/>
        <v>0</v>
      </c>
      <c r="J7" s="4">
        <f t="shared" si="5"/>
        <v>1</v>
      </c>
      <c r="K7" s="2">
        <v>45</v>
      </c>
      <c r="L7" s="2">
        <v>18.5</v>
      </c>
      <c r="M7" s="2">
        <v>2</v>
      </c>
      <c r="N7" s="9">
        <v>0.160729176</v>
      </c>
      <c r="O7" s="10">
        <f t="shared" si="6"/>
        <v>0.160729082</v>
      </c>
      <c r="P7" s="4" t="s">
        <v>100</v>
      </c>
      <c r="Q7" s="4">
        <v>0.31837584040986283</v>
      </c>
      <c r="R7" s="4">
        <f>9+(Q7*7)</f>
        <v>11.228630882869041</v>
      </c>
    </row>
    <row r="8" spans="1:18" ht="15.6" thickBot="1" x14ac:dyDescent="0.3">
      <c r="A8" s="2">
        <v>7</v>
      </c>
      <c r="B8" s="2">
        <v>-1</v>
      </c>
      <c r="C8" s="2">
        <v>0</v>
      </c>
      <c r="D8" s="2">
        <v>1</v>
      </c>
      <c r="E8" s="4">
        <f t="shared" si="0"/>
        <v>0</v>
      </c>
      <c r="F8" s="4">
        <f t="shared" si="1"/>
        <v>-1</v>
      </c>
      <c r="G8" s="4">
        <f t="shared" si="2"/>
        <v>0</v>
      </c>
      <c r="H8" s="4">
        <f t="shared" si="3"/>
        <v>1</v>
      </c>
      <c r="I8" s="4">
        <f t="shared" si="4"/>
        <v>0</v>
      </c>
      <c r="J8" s="4">
        <f t="shared" si="5"/>
        <v>1</v>
      </c>
      <c r="K8" s="2">
        <v>20</v>
      </c>
      <c r="L8" s="2">
        <v>18.5</v>
      </c>
      <c r="M8" s="2">
        <v>16</v>
      </c>
      <c r="N8" s="9">
        <v>0.181826558</v>
      </c>
      <c r="O8" s="10">
        <f t="shared" si="6"/>
        <v>0.181826556</v>
      </c>
    </row>
    <row r="9" spans="1:18" ht="15.6" thickBot="1" x14ac:dyDescent="0.3">
      <c r="A9" s="2">
        <v>8</v>
      </c>
      <c r="B9" s="2">
        <v>1</v>
      </c>
      <c r="C9" s="2">
        <v>0</v>
      </c>
      <c r="D9" s="2">
        <v>1</v>
      </c>
      <c r="E9" s="4">
        <f t="shared" si="0"/>
        <v>0</v>
      </c>
      <c r="F9" s="4">
        <f t="shared" si="1"/>
        <v>1</v>
      </c>
      <c r="G9" s="4">
        <f t="shared" si="2"/>
        <v>0</v>
      </c>
      <c r="H9" s="4">
        <f t="shared" si="3"/>
        <v>1</v>
      </c>
      <c r="I9" s="4">
        <f t="shared" si="4"/>
        <v>0</v>
      </c>
      <c r="J9" s="4">
        <f t="shared" si="5"/>
        <v>1</v>
      </c>
      <c r="K9" s="2">
        <v>45</v>
      </c>
      <c r="L9" s="2">
        <v>18.5</v>
      </c>
      <c r="M9" s="2">
        <v>16</v>
      </c>
      <c r="N9" s="9">
        <v>0.181826558</v>
      </c>
      <c r="O9" s="10">
        <f t="shared" si="6"/>
        <v>0.181826556</v>
      </c>
    </row>
    <row r="10" spans="1:18" ht="15.6" thickBot="1" x14ac:dyDescent="0.3">
      <c r="A10" s="2">
        <v>9</v>
      </c>
      <c r="B10" s="2">
        <v>0</v>
      </c>
      <c r="C10" s="2">
        <v>-1</v>
      </c>
      <c r="D10" s="2">
        <v>-1</v>
      </c>
      <c r="E10" s="4">
        <f t="shared" si="0"/>
        <v>0</v>
      </c>
      <c r="F10" s="4">
        <f t="shared" si="1"/>
        <v>0</v>
      </c>
      <c r="G10" s="4">
        <f t="shared" si="2"/>
        <v>1</v>
      </c>
      <c r="H10" s="4">
        <f t="shared" si="3"/>
        <v>0</v>
      </c>
      <c r="I10" s="4">
        <f t="shared" si="4"/>
        <v>1</v>
      </c>
      <c r="J10" s="4">
        <f t="shared" si="5"/>
        <v>1</v>
      </c>
      <c r="K10" s="2">
        <v>32.5</v>
      </c>
      <c r="L10" s="2">
        <v>18</v>
      </c>
      <c r="M10" s="2">
        <v>2</v>
      </c>
      <c r="N10" s="9">
        <v>0.15793565000000001</v>
      </c>
      <c r="O10" s="10">
        <f t="shared" si="6"/>
        <v>0.15769062299999997</v>
      </c>
    </row>
    <row r="11" spans="1:18" ht="15.6" thickBot="1" x14ac:dyDescent="0.3">
      <c r="A11" s="2">
        <v>10</v>
      </c>
      <c r="B11" s="2">
        <v>0</v>
      </c>
      <c r="C11" s="2">
        <v>1</v>
      </c>
      <c r="D11" s="2">
        <v>-1</v>
      </c>
      <c r="E11" s="4">
        <f t="shared" si="0"/>
        <v>0</v>
      </c>
      <c r="F11" s="4">
        <f t="shared" si="1"/>
        <v>0</v>
      </c>
      <c r="G11" s="4">
        <f t="shared" si="2"/>
        <v>-1</v>
      </c>
      <c r="H11" s="4">
        <f t="shared" si="3"/>
        <v>0</v>
      </c>
      <c r="I11" s="4">
        <f t="shared" si="4"/>
        <v>1</v>
      </c>
      <c r="J11" s="4">
        <f t="shared" si="5"/>
        <v>1</v>
      </c>
      <c r="K11" s="2">
        <v>32.5</v>
      </c>
      <c r="L11" s="2">
        <v>19</v>
      </c>
      <c r="M11" s="2">
        <v>2</v>
      </c>
      <c r="N11" s="9">
        <v>0.16352248599999999</v>
      </c>
      <c r="O11" s="10">
        <f t="shared" si="6"/>
        <v>0.16376754100000002</v>
      </c>
    </row>
    <row r="12" spans="1:18" ht="15.6" thickBot="1" x14ac:dyDescent="0.3">
      <c r="A12" s="2">
        <v>11</v>
      </c>
      <c r="B12" s="2">
        <v>0</v>
      </c>
      <c r="C12" s="2">
        <v>-1</v>
      </c>
      <c r="D12" s="2">
        <v>1</v>
      </c>
      <c r="E12" s="4">
        <f t="shared" si="0"/>
        <v>0</v>
      </c>
      <c r="F12" s="4">
        <f t="shared" si="1"/>
        <v>0</v>
      </c>
      <c r="G12" s="4">
        <f t="shared" si="2"/>
        <v>-1</v>
      </c>
      <c r="H12" s="4">
        <f t="shared" si="3"/>
        <v>0</v>
      </c>
      <c r="I12" s="4">
        <f t="shared" si="4"/>
        <v>1</v>
      </c>
      <c r="J12" s="4">
        <f t="shared" si="5"/>
        <v>1</v>
      </c>
      <c r="K12" s="2">
        <v>32.5</v>
      </c>
      <c r="L12" s="2">
        <v>18</v>
      </c>
      <c r="M12" s="2">
        <v>16</v>
      </c>
      <c r="N12" s="9">
        <v>0.17711524000000001</v>
      </c>
      <c r="O12" s="10">
        <f t="shared" si="6"/>
        <v>0.176870215</v>
      </c>
    </row>
    <row r="13" spans="1:18" ht="15.6" thickBot="1" x14ac:dyDescent="0.3">
      <c r="A13" s="2">
        <v>12</v>
      </c>
      <c r="B13" s="2">
        <v>0</v>
      </c>
      <c r="C13" s="2">
        <v>1</v>
      </c>
      <c r="D13" s="2">
        <v>1</v>
      </c>
      <c r="E13" s="4">
        <f t="shared" si="0"/>
        <v>0</v>
      </c>
      <c r="F13" s="4">
        <f t="shared" si="1"/>
        <v>0</v>
      </c>
      <c r="G13" s="4">
        <f t="shared" si="2"/>
        <v>1</v>
      </c>
      <c r="H13" s="4">
        <f t="shared" si="3"/>
        <v>0</v>
      </c>
      <c r="I13" s="4">
        <f t="shared" si="4"/>
        <v>1</v>
      </c>
      <c r="J13" s="4">
        <f t="shared" si="5"/>
        <v>1</v>
      </c>
      <c r="K13" s="2">
        <v>32.5</v>
      </c>
      <c r="L13" s="2">
        <v>19</v>
      </c>
      <c r="M13" s="2">
        <v>16</v>
      </c>
      <c r="N13" s="9">
        <v>0.18653783900000001</v>
      </c>
      <c r="O13" s="10">
        <f t="shared" si="6"/>
        <v>0.186782897</v>
      </c>
    </row>
    <row r="14" spans="1:18" ht="15.6" thickBot="1" x14ac:dyDescent="0.3">
      <c r="A14" s="2">
        <v>13</v>
      </c>
      <c r="B14" s="2">
        <v>0</v>
      </c>
      <c r="C14" s="2">
        <v>0</v>
      </c>
      <c r="D14" s="2">
        <v>0</v>
      </c>
      <c r="E14" s="4">
        <f t="shared" si="0"/>
        <v>0</v>
      </c>
      <c r="F14" s="4">
        <f t="shared" si="1"/>
        <v>0</v>
      </c>
      <c r="G14" s="4">
        <f t="shared" si="2"/>
        <v>0</v>
      </c>
      <c r="H14" s="4">
        <f t="shared" si="3"/>
        <v>0</v>
      </c>
      <c r="I14" s="4">
        <f t="shared" si="4"/>
        <v>0</v>
      </c>
      <c r="J14" s="4">
        <f t="shared" si="5"/>
        <v>0</v>
      </c>
      <c r="K14" s="2">
        <v>32.5</v>
      </c>
      <c r="L14" s="2">
        <v>18.5</v>
      </c>
      <c r="M14" s="2">
        <v>9</v>
      </c>
      <c r="N14" s="9">
        <v>0.17666990499999999</v>
      </c>
      <c r="O14" s="10">
        <f t="shared" si="6"/>
        <v>0.17666989999999999</v>
      </c>
    </row>
    <row r="15" spans="1:18" ht="15.6" thickBot="1" x14ac:dyDescent="0.3">
      <c r="A15" s="2">
        <v>14</v>
      </c>
      <c r="B15" s="2">
        <v>0</v>
      </c>
      <c r="C15" s="2">
        <v>0</v>
      </c>
      <c r="D15" s="2">
        <v>0</v>
      </c>
      <c r="E15" s="4">
        <f t="shared" si="0"/>
        <v>0</v>
      </c>
      <c r="F15" s="4">
        <f t="shared" si="1"/>
        <v>0</v>
      </c>
      <c r="G15" s="4">
        <f t="shared" si="2"/>
        <v>0</v>
      </c>
      <c r="H15" s="4">
        <f t="shared" si="3"/>
        <v>0</v>
      </c>
      <c r="I15" s="4">
        <f t="shared" si="4"/>
        <v>0</v>
      </c>
      <c r="J15" s="4">
        <f t="shared" si="5"/>
        <v>0</v>
      </c>
      <c r="K15" s="2">
        <v>32.5</v>
      </c>
      <c r="L15" s="2">
        <v>18.5</v>
      </c>
      <c r="M15" s="2">
        <v>9</v>
      </c>
      <c r="N15" s="9">
        <v>0.17666990499999999</v>
      </c>
      <c r="O15" s="10">
        <f t="shared" si="6"/>
        <v>0.17666989999999999</v>
      </c>
    </row>
    <row r="16" spans="1:18" ht="15.6" thickBot="1" x14ac:dyDescent="0.3">
      <c r="A16" s="2">
        <v>15</v>
      </c>
      <c r="B16" s="2">
        <v>0</v>
      </c>
      <c r="C16" s="2">
        <v>0</v>
      </c>
      <c r="D16" s="2">
        <v>0</v>
      </c>
      <c r="E16" s="4">
        <f t="shared" si="0"/>
        <v>0</v>
      </c>
      <c r="F16" s="4">
        <f t="shared" si="1"/>
        <v>0</v>
      </c>
      <c r="G16" s="4">
        <f t="shared" si="2"/>
        <v>0</v>
      </c>
      <c r="H16" s="4">
        <f t="shared" si="3"/>
        <v>0</v>
      </c>
      <c r="I16" s="4">
        <f t="shared" si="4"/>
        <v>0</v>
      </c>
      <c r="J16" s="4">
        <f t="shared" si="5"/>
        <v>0</v>
      </c>
      <c r="K16" s="2">
        <v>32.5</v>
      </c>
      <c r="L16" s="2">
        <v>18.5</v>
      </c>
      <c r="M16" s="2">
        <v>9</v>
      </c>
      <c r="N16" s="9">
        <v>0.17666990499999999</v>
      </c>
      <c r="O16" s="10">
        <f t="shared" si="6"/>
        <v>0.17666989999999999</v>
      </c>
      <c r="Q16" s="21"/>
      <c r="R16" s="22"/>
    </row>
    <row r="17" spans="11:18" x14ac:dyDescent="0.25">
      <c r="Q17" s="21"/>
      <c r="R17" s="22"/>
    </row>
    <row r="18" spans="11:18" x14ac:dyDescent="0.25">
      <c r="Q18" s="21"/>
      <c r="R18" s="22"/>
    </row>
    <row r="19" spans="11:18" x14ac:dyDescent="0.25">
      <c r="K19" s="4" t="s">
        <v>101</v>
      </c>
      <c r="L19" s="4"/>
      <c r="M19" s="4"/>
      <c r="N19" s="4"/>
      <c r="Q19" s="21"/>
      <c r="R19" s="22"/>
    </row>
    <row r="20" spans="11:18" x14ac:dyDescent="0.25">
      <c r="K20" s="11">
        <f>0.176669905 + 0.000000023875*Q5 + 0.0039974*Q6 + 0.010548737*Q7 + 1.13081E-19*Q5*Q6 - 0.0000000475*Q5*Q7 + 0.000958941*Q6*Q7 - 0.00000000475*(Q5^2) - 0.00000002025*(Q6^2) - 0.005392081*(Q7^2)</f>
        <v>0.18000091840375051</v>
      </c>
      <c r="L20" s="4"/>
      <c r="M20" s="4"/>
      <c r="N20" s="4"/>
      <c r="Q20" s="21"/>
      <c r="R20" s="22"/>
    </row>
    <row r="21" spans="11:18" x14ac:dyDescent="0.25">
      <c r="L21" s="20"/>
      <c r="M21" s="20"/>
      <c r="Q21" s="21"/>
      <c r="R21" s="22"/>
    </row>
    <row r="22" spans="11:18" x14ac:dyDescent="0.25">
      <c r="Q22" s="21"/>
      <c r="R22" s="22"/>
    </row>
    <row r="23" spans="11:18" x14ac:dyDescent="0.25">
      <c r="Q23" s="21"/>
      <c r="R23" s="22"/>
    </row>
    <row r="24" spans="11:18" x14ac:dyDescent="0.25">
      <c r="Q24" s="21"/>
      <c r="R24" s="22"/>
    </row>
    <row r="25" spans="11:18" x14ac:dyDescent="0.25">
      <c r="Q25" s="21"/>
      <c r="R25" s="22"/>
    </row>
    <row r="26" spans="11:18" x14ac:dyDescent="0.25">
      <c r="Q26" s="21"/>
      <c r="R26" s="22"/>
    </row>
    <row r="27" spans="11:18" x14ac:dyDescent="0.25">
      <c r="Q27" s="21"/>
      <c r="R27" s="22"/>
    </row>
    <row r="28" spans="11:18" x14ac:dyDescent="0.25">
      <c r="Q28" s="21"/>
      <c r="R28" s="22"/>
    </row>
    <row r="29" spans="11:18" x14ac:dyDescent="0.25">
      <c r="Q29" s="21"/>
      <c r="R29" s="22"/>
    </row>
    <row r="30" spans="11:18" x14ac:dyDescent="0.25">
      <c r="Q30" s="21"/>
      <c r="R3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Feuil2</vt:lpstr>
      <vt:lpstr>Rapport de solution 1</vt:lpstr>
      <vt:lpstr>Rapport de sensibilité 1</vt:lpstr>
      <vt:lpstr>Rapport des limites 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 Atm</dc:creator>
  <cp:lastModifiedBy>Adn Atm</cp:lastModifiedBy>
  <dcterms:created xsi:type="dcterms:W3CDTF">2026-07-22T14:45:39Z</dcterms:created>
  <dcterms:modified xsi:type="dcterms:W3CDTF">2026-09-27T19:33:25Z</dcterms:modified>
</cp:coreProperties>
</file>