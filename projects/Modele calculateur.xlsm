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stage GMM (définitif)\continuation du pfa a donner aussi\"/>
    </mc:Choice>
  </mc:AlternateContent>
  <xr:revisionPtr revIDLastSave="0" documentId="13_ncr:1_{2C30157E-BB76-4DA7-84FB-83C66F50BF6D}" xr6:coauthVersionLast="47" xr6:coauthVersionMax="47" xr10:uidLastSave="{00000000-0000-0000-0000-000000000000}"/>
  <bookViews>
    <workbookView xWindow="11424" yWindow="0" windowWidth="11712" windowHeight="13776" xr2:uid="{DF4063A7-B584-4173-8F23-9A9932382CF0}"/>
  </bookViews>
  <sheets>
    <sheet name="Feuil1" sheetId="1" r:id="rId1"/>
  </sheets>
  <functionGroups builtInGroupCount="19"/>
  <definedNames>
    <definedName name="solver_adj" localSheetId="0" hidden="1">Feuil1!$B$1,Feuil1!$B$7,Feuil1!$B$11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Feuil1!$I$3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9" i="1" l="1"/>
  <c r="D29" i="1"/>
  <c r="K29" i="1" s="1"/>
  <c r="B29" i="1"/>
  <c r="D16" i="1" l="1"/>
  <c r="K16" i="1" s="1"/>
  <c r="D17" i="1"/>
  <c r="K17" i="1" s="1"/>
  <c r="D18" i="1"/>
  <c r="K18" i="1" s="1"/>
  <c r="D19" i="1"/>
  <c r="K19" i="1" s="1"/>
  <c r="D20" i="1"/>
  <c r="K20" i="1" s="1"/>
  <c r="D21" i="1"/>
  <c r="K21" i="1" s="1"/>
  <c r="D22" i="1"/>
  <c r="K22" i="1" s="1"/>
  <c r="D23" i="1"/>
  <c r="K23" i="1" s="1"/>
  <c r="D24" i="1"/>
  <c r="K24" i="1" s="1"/>
  <c r="D25" i="1"/>
  <c r="K25" i="1" s="1"/>
  <c r="D26" i="1"/>
  <c r="K26" i="1" s="1"/>
  <c r="D27" i="1"/>
  <c r="K27" i="1" s="1"/>
  <c r="D28" i="1"/>
  <c r="K28" i="1" s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B25" i="1"/>
  <c r="I4" i="1" a="1"/>
  <c r="I4" i="1" s="1"/>
  <c r="B15" i="1"/>
  <c r="D15" i="1" s="1"/>
  <c r="K15" i="1" s="1"/>
  <c r="B16" i="1"/>
  <c r="B17" i="1"/>
  <c r="B18" i="1"/>
  <c r="B19" i="1"/>
  <c r="B20" i="1"/>
  <c r="B21" i="1"/>
  <c r="B22" i="1"/>
  <c r="B23" i="1"/>
  <c r="B24" i="1"/>
  <c r="B26" i="1"/>
  <c r="B27" i="1"/>
  <c r="B28" i="1"/>
  <c r="B14" i="1"/>
  <c r="D14" i="1" s="1"/>
  <c r="K14" i="1" s="1"/>
  <c r="J14" i="1" s="1"/>
  <c r="E14" i="1"/>
  <c r="G14" i="1" a="1"/>
  <c r="F15" i="1" l="1"/>
  <c r="F14" i="1"/>
  <c r="G14" i="1"/>
  <c r="H14" i="1" l="1"/>
  <c r="E15" i="1" s="1"/>
  <c r="J15" i="1" s="1"/>
  <c r="G15" i="1" a="1"/>
  <c r="G15" i="1" l="1"/>
  <c r="H15" i="1" s="1"/>
  <c r="E16" i="1" s="1"/>
  <c r="J16" i="1" s="1"/>
  <c r="G16" i="1" a="1"/>
  <c r="G16" i="1" l="1"/>
  <c r="H16" i="1" s="1"/>
  <c r="E17" i="1" s="1"/>
  <c r="J17" i="1" s="1"/>
  <c r="G17" i="1" a="1"/>
  <c r="G17" i="1" l="1"/>
  <c r="H17" i="1" s="1"/>
  <c r="E18" i="1" s="1"/>
  <c r="J18" i="1" s="1"/>
  <c r="G18" i="1" a="1"/>
  <c r="G18" i="1" l="1"/>
  <c r="H18" i="1" s="1"/>
  <c r="E19" i="1" s="1"/>
  <c r="J19" i="1" s="1"/>
  <c r="G19" i="1" a="1"/>
  <c r="G19" i="1" l="1"/>
  <c r="H19" i="1" l="1"/>
  <c r="E20" i="1" s="1"/>
  <c r="J20" i="1" s="1"/>
  <c r="G20" i="1" a="1"/>
  <c r="G20" i="1" l="1"/>
  <c r="H20" i="1" s="1"/>
  <c r="E21" i="1" s="1"/>
  <c r="J21" i="1" s="1"/>
  <c r="G21" i="1" a="1"/>
  <c r="G21" i="1" l="1"/>
  <c r="H21" i="1" s="1"/>
  <c r="E22" i="1" s="1"/>
  <c r="J22" i="1" s="1"/>
  <c r="G22" i="1" a="1"/>
  <c r="G22" i="1" l="1"/>
  <c r="H22" i="1" s="1"/>
  <c r="E23" i="1" s="1"/>
  <c r="J23" i="1" s="1"/>
  <c r="G23" i="1" a="1"/>
  <c r="G23" i="1" l="1"/>
  <c r="H23" i="1" s="1"/>
  <c r="E24" i="1" s="1"/>
  <c r="J24" i="1" s="1"/>
  <c r="G24" i="1" a="1"/>
  <c r="G24" i="1" l="1"/>
  <c r="H24" i="1" s="1"/>
  <c r="E25" i="1" s="1"/>
  <c r="J25" i="1" s="1"/>
  <c r="G25" i="1" a="1"/>
  <c r="G25" i="1" l="1"/>
  <c r="H25" i="1" s="1"/>
  <c r="E26" i="1" s="1"/>
  <c r="J26" i="1" s="1"/>
  <c r="G26" i="1" a="1"/>
  <c r="G26" i="1" l="1"/>
  <c r="H26" i="1" s="1"/>
  <c r="E27" i="1" s="1"/>
  <c r="J27" i="1" s="1"/>
  <c r="G27" i="1" a="1"/>
  <c r="G27" i="1" l="1"/>
  <c r="H27" i="1" s="1"/>
  <c r="E28" i="1" s="1"/>
  <c r="J28" i="1" s="1"/>
  <c r="G28" i="1" a="1"/>
  <c r="G28" i="1" l="1"/>
  <c r="H28" i="1" s="1"/>
  <c r="I3" i="1" l="1"/>
  <c r="E29" i="1"/>
  <c r="G29" i="1" a="1"/>
  <c r="G29" i="1" l="1"/>
  <c r="H29" i="1" s="1"/>
  <c r="J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<sst xmlns="http://schemas.openxmlformats.org/spreadsheetml/2006/main" count="24" uniqueCount="24">
  <si>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Kshell</t>
  </si>
  <si>
    <t>Deff</t>
  </si>
  <si>
    <t>Beta</t>
  </si>
  <si>
    <t>Me</t>
  </si>
  <si>
    <t>M0</t>
  </si>
  <si>
    <t>R0</t>
  </si>
  <si>
    <t>D0</t>
  </si>
  <si>
    <t>Ea</t>
  </si>
  <si>
    <t>Teau</t>
  </si>
  <si>
    <t>Tsilo</t>
  </si>
  <si>
    <t>Ktherm</t>
  </si>
  <si>
    <t>Temps</t>
  </si>
  <si>
    <t>Temp grain</t>
  </si>
  <si>
    <t>Rayon</t>
  </si>
  <si>
    <t>deficit shell(Mshell)</t>
  </si>
  <si>
    <t>Deficit core(Mcore)</t>
  </si>
  <si>
    <t>Humidite reel</t>
  </si>
  <si>
    <t>humidité theo</t>
  </si>
  <si>
    <t>RSME</t>
  </si>
  <si>
    <t>R^2</t>
  </si>
  <si>
    <t>temps</t>
  </si>
  <si>
    <t>U(t)</t>
  </si>
  <si>
    <t>deficit shell(Mshell)exp</t>
  </si>
  <si>
    <t>Deficit core(Mcore)exp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</si>
</sst>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1" fontId="0" fillId="0" borderId="1" xfId="0" applyNumberFormat="1" applyBorder="1"/>
    <xf numFmtId="0" fontId="0" fillId="0" borderId="1" xfId="0" applyFill="1" applyBorder="1" applyAlignment="1">
      <alignment horizontal="center"/>
    </xf>
    <xf numFmtId="10" fontId="0" fillId="0" borderId="0" xfId="0" applyNumberFormat="1"/>
    <xf numFmtId="0" fontId="0" fillId="0" borderId="1" xfId="0" applyNumberFormat="1" applyBorder="1"/>
    <xf numFmtId="0" fontId="0" fillId="0" borderId="1" xfId="1" applyNumberFormat="1" applyFont="1" applyBorder="1"/>
    <xf numFmtId="0" fontId="0" fillId="2" borderId="1" xfId="0" applyFill="1" applyBorder="1"/>
    <xf numFmtId="0" fontId="0" fillId="2" borderId="1" xfId="0" applyNumberFormat="1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Feuil1!$B$14:$B$28</c:f>
              <c:numCache>
                <c:formatCode>General</c:formatCode>
                <c:ptCount val="15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1800</c:v>
                </c:pt>
                <c:pt idx="6">
                  <c:v>3600</c:v>
                </c:pt>
                <c:pt idx="7">
                  <c:v>7200</c:v>
                </c:pt>
                <c:pt idx="8">
                  <c:v>14400</c:v>
                </c:pt>
                <c:pt idx="9">
                  <c:v>21600</c:v>
                </c:pt>
                <c:pt idx="10">
                  <c:v>28800</c:v>
                </c:pt>
                <c:pt idx="11">
                  <c:v>32400</c:v>
                </c:pt>
                <c:pt idx="12">
                  <c:v>43200</c:v>
                </c:pt>
                <c:pt idx="13">
                  <c:v>50400</c:v>
                </c:pt>
                <c:pt idx="14">
                  <c:v>57600</c:v>
                </c:pt>
              </c:numCache>
            </c:numRef>
          </c:xVal>
          <c:yVal>
            <c:numRef>
              <c:f>Feuil1!$D$14:$D$28</c:f>
              <c:numCache>
                <c:formatCode>General</c:formatCode>
                <c:ptCount val="15"/>
                <c:pt idx="0">
                  <c:v>20</c:v>
                </c:pt>
                <c:pt idx="1">
                  <c:v>23.62371848378265</c:v>
                </c:pt>
                <c:pt idx="2">
                  <c:v>25.934303402594498</c:v>
                </c:pt>
                <c:pt idx="3">
                  <c:v>27.40759739354155</c:v>
                </c:pt>
                <c:pt idx="4">
                  <c:v>28.347011117784533</c:v>
                </c:pt>
                <c:pt idx="5">
                  <c:v>29.327944872602746</c:v>
                </c:pt>
                <c:pt idx="6">
                  <c:v>29.954834190573905</c:v>
                </c:pt>
                <c:pt idx="7">
                  <c:v>29.999796004965887</c:v>
                </c:pt>
                <c:pt idx="8">
                  <c:v>29.999999995838603</c:v>
                </c:pt>
                <c:pt idx="9">
                  <c:v>29.999999999999915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B5-4A82-A33C-9B021C70D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77456"/>
        <c:axId val="547241008"/>
      </c:scatterChart>
      <c:valAx>
        <c:axId val="492377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7241008"/>
        <c:crosses val="autoZero"/>
        <c:crossBetween val="midCat"/>
      </c:valAx>
      <c:valAx>
        <c:axId val="5472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37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Feuil1!$B$14:$B$28</c:f>
              <c:numCache>
                <c:formatCode>General</c:formatCode>
                <c:ptCount val="15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1800</c:v>
                </c:pt>
                <c:pt idx="6">
                  <c:v>3600</c:v>
                </c:pt>
                <c:pt idx="7">
                  <c:v>7200</c:v>
                </c:pt>
                <c:pt idx="8">
                  <c:v>14400</c:v>
                </c:pt>
                <c:pt idx="9">
                  <c:v>21600</c:v>
                </c:pt>
                <c:pt idx="10">
                  <c:v>28800</c:v>
                </c:pt>
                <c:pt idx="11">
                  <c:v>32400</c:v>
                </c:pt>
                <c:pt idx="12">
                  <c:v>43200</c:v>
                </c:pt>
                <c:pt idx="13">
                  <c:v>50400</c:v>
                </c:pt>
                <c:pt idx="14">
                  <c:v>57600</c:v>
                </c:pt>
              </c:numCache>
            </c:numRef>
          </c:xVal>
          <c:yVal>
            <c:numRef>
              <c:f>Feuil1!$E$14:$E$28</c:f>
              <c:numCache>
                <c:formatCode>General</c:formatCode>
                <c:ptCount val="15"/>
                <c:pt idx="0">
                  <c:v>2E-3</c:v>
                </c:pt>
                <c:pt idx="1">
                  <c:v>2E-3</c:v>
                </c:pt>
                <c:pt idx="2">
                  <c:v>2.0000930779921411E-3</c:v>
                </c:pt>
                <c:pt idx="3">
                  <c:v>2.000109420323009E-3</c:v>
                </c:pt>
                <c:pt idx="4">
                  <c:v>2.0001221961576865E-3</c:v>
                </c:pt>
                <c:pt idx="5">
                  <c:v>2.0001328203729618E-3</c:v>
                </c:pt>
                <c:pt idx="6">
                  <c:v>2.0001499215019525E-3</c:v>
                </c:pt>
                <c:pt idx="7">
                  <c:v>2.0001847844328732E-3</c:v>
                </c:pt>
                <c:pt idx="8">
                  <c:v>2.0002278741528545E-3</c:v>
                </c:pt>
                <c:pt idx="9">
                  <c:v>2.0002789466219786E-3</c:v>
                </c:pt>
                <c:pt idx="10">
                  <c:v>2.0003104084349377E-3</c:v>
                </c:pt>
                <c:pt idx="11">
                  <c:v>2.0003317468613702E-3</c:v>
                </c:pt>
                <c:pt idx="12">
                  <c:v>2.0003398758791651E-3</c:v>
                </c:pt>
                <c:pt idx="13">
                  <c:v>2.0003573481868048E-3</c:v>
                </c:pt>
                <c:pt idx="14">
                  <c:v>2.0003649356511092E-3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F3-4591-9169-3137FD941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177088"/>
        <c:axId val="830173728"/>
      </c:scatterChart>
      <c:valAx>
        <c:axId val="83017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0173728"/>
        <c:crosses val="autoZero"/>
        <c:crossBetween val="midCat"/>
      </c:valAx>
      <c:valAx>
        <c:axId val="8301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017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Feuil1!$B$14:$B$28</c:f>
              <c:numCache>
                <c:formatCode>General</c:formatCode>
                <c:ptCount val="15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1800</c:v>
                </c:pt>
                <c:pt idx="6">
                  <c:v>3600</c:v>
                </c:pt>
                <c:pt idx="7">
                  <c:v>7200</c:v>
                </c:pt>
                <c:pt idx="8">
                  <c:v>14400</c:v>
                </c:pt>
                <c:pt idx="9">
                  <c:v>21600</c:v>
                </c:pt>
                <c:pt idx="10">
                  <c:v>28800</c:v>
                </c:pt>
                <c:pt idx="11">
                  <c:v>32400</c:v>
                </c:pt>
                <c:pt idx="12">
                  <c:v>43200</c:v>
                </c:pt>
                <c:pt idx="13">
                  <c:v>50400</c:v>
                </c:pt>
                <c:pt idx="14">
                  <c:v>57600</c:v>
                </c:pt>
              </c:numCache>
            </c:numRef>
          </c:xVal>
          <c:yVal>
            <c:numRef>
              <c:f>Feuil1!$K$14:$K$28</c:f>
              <c:numCache>
                <c:formatCode>General</c:formatCode>
                <c:ptCount val="15"/>
                <c:pt idx="0">
                  <c:v>1.2551863620821917E-11</c:v>
                </c:pt>
                <c:pt idx="1">
                  <c:v>1.4589748866758405E-11</c:v>
                </c:pt>
                <c:pt idx="2">
                  <c:v>1.6028139952958239E-11</c:v>
                </c:pt>
                <c:pt idx="3">
                  <c:v>1.7005636910840299E-11</c:v>
                </c:pt>
                <c:pt idx="4">
                  <c:v>1.7654479907979695E-11</c:v>
                </c:pt>
                <c:pt idx="5">
                  <c:v>1.8353877980793282E-11</c:v>
                </c:pt>
                <c:pt idx="6">
                  <c:v>1.8812809313722772E-11</c:v>
                </c:pt>
                <c:pt idx="7">
                  <c:v>1.8846088472221287E-11</c:v>
                </c:pt>
                <c:pt idx="8">
                  <c:v>1.8846239570658439E-11</c:v>
                </c:pt>
                <c:pt idx="9">
                  <c:v>1.8846239573740756E-11</c:v>
                </c:pt>
                <c:pt idx="10">
                  <c:v>1.8846239573740824E-11</c:v>
                </c:pt>
                <c:pt idx="11">
                  <c:v>1.8846239573740824E-11</c:v>
                </c:pt>
                <c:pt idx="12">
                  <c:v>1.8846239573740824E-11</c:v>
                </c:pt>
                <c:pt idx="13">
                  <c:v>1.8846239573740824E-11</c:v>
                </c:pt>
                <c:pt idx="14">
                  <c:v>1.8846239573740824E-11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9-47BB-97AD-5890BF8DC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364688"/>
        <c:axId val="1881366128"/>
      </c:scatterChart>
      <c:valAx>
        <c:axId val="188136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1366128"/>
        <c:crosses val="autoZero"/>
        <c:crossBetween val="midCat"/>
      </c:valAx>
      <c:valAx>
        <c:axId val="18813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136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</a:t>
            </a:r>
            <a:r>
              <a:rPr lang="fr-FR" baseline="0"/>
              <a:t> en fct de temps de repos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Feuil1!$B$14:$B$28</c:f>
              <c:numCache>
                <c:formatCode>General</c:formatCode>
                <c:ptCount val="15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1800</c:v>
                </c:pt>
                <c:pt idx="6">
                  <c:v>3600</c:v>
                </c:pt>
                <c:pt idx="7">
                  <c:v>7200</c:v>
                </c:pt>
                <c:pt idx="8">
                  <c:v>14400</c:v>
                </c:pt>
                <c:pt idx="9">
                  <c:v>21600</c:v>
                </c:pt>
                <c:pt idx="10">
                  <c:v>28800</c:v>
                </c:pt>
                <c:pt idx="11">
                  <c:v>32400</c:v>
                </c:pt>
                <c:pt idx="12">
                  <c:v>43200</c:v>
                </c:pt>
                <c:pt idx="13">
                  <c:v>50400</c:v>
                </c:pt>
                <c:pt idx="14">
                  <c:v>57600</c:v>
                </c:pt>
              </c:numCache>
            </c:numRef>
          </c:xVal>
          <c:yVal>
            <c:numRef>
              <c:f>Feuil1!$H$14:$H$28</c:f>
              <c:numCache>
                <c:formatCode>General</c:formatCode>
                <c:ptCount val="15"/>
                <c:pt idx="0">
                  <c:v>0.13</c:v>
                </c:pt>
                <c:pt idx="1">
                  <c:v>0.1445434362719844</c:v>
                </c:pt>
                <c:pt idx="2">
                  <c:v>0.14709692547011854</c:v>
                </c:pt>
                <c:pt idx="3">
                  <c:v>0.14909314963845563</c:v>
                </c:pt>
                <c:pt idx="4">
                  <c:v>0.15075318327527154</c:v>
                </c:pt>
                <c:pt idx="5">
                  <c:v>0.153425234680065</c:v>
                </c:pt>
                <c:pt idx="6">
                  <c:v>0.15887256763647511</c:v>
                </c:pt>
                <c:pt idx="7">
                  <c:v>0.1656053363834997</c:v>
                </c:pt>
                <c:pt idx="8">
                  <c:v>0.17358540968413791</c:v>
                </c:pt>
                <c:pt idx="9">
                  <c:v>0.17850131795901358</c:v>
                </c:pt>
                <c:pt idx="10">
                  <c:v>0.18183544708908495</c:v>
                </c:pt>
                <c:pt idx="11">
                  <c:v>0.18310560611951485</c:v>
                </c:pt>
                <c:pt idx="12">
                  <c:v>0.1858356541882776</c:v>
                </c:pt>
                <c:pt idx="13">
                  <c:v>0.18702119548580409</c:v>
                </c:pt>
                <c:pt idx="14">
                  <c:v>0.18786874131682488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5C-47C1-8AEF-3BFFDEBE6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249168"/>
        <c:axId val="547249648"/>
      </c:scatterChart>
      <c:valAx>
        <c:axId val="54724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7249648"/>
        <c:crosses val="autoZero"/>
        <c:crossBetween val="midCat"/>
      </c:valAx>
      <c:valAx>
        <c:axId val="54724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7249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1455420</xdr:colOff>
      <xdr:row>30</xdr:row>
      <xdr:rowOff>49530</xdr:rowOff>
    </xdr:from>
    <xdr:to>
      <xdr:col>10</xdr:col>
      <xdr:colOff>320040</xdr:colOff>
      <xdr:row>44</xdr:row>
      <xdr:rowOff>125730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CA6EB2B-B180-B319-AD7B-774072314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125730</xdr:rowOff>
    </xdr:from>
    <xdr:to>
      <xdr:col>4</xdr:col>
      <xdr:colOff>815340</xdr:colOff>
      <xdr:row>45</xdr:row>
      <xdr:rowOff>11430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7D82F7B-07CF-1B8A-BBB0-D1D063863E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1714500</xdr:colOff>
      <xdr:row>30</xdr:row>
      <xdr:rowOff>57150</xdr:rowOff>
    </xdr:from>
    <xdr:to>
      <xdr:col>13</xdr:col>
      <xdr:colOff>807720</xdr:colOff>
      <xdr:row>44</xdr:row>
      <xdr:rowOff>133350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B331481-5A5A-34FC-2381-E73B016E67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792480</xdr:colOff>
      <xdr:row>30</xdr:row>
      <xdr:rowOff>80010</xdr:rowOff>
    </xdr:from>
    <xdr:to>
      <xdr:col>6</xdr:col>
      <xdr:colOff>1066800</xdr:colOff>
      <xdr:row>44</xdr:row>
      <xdr:rowOff>156210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1FA5FD7-37E8-3358-CE87-A7EB0DA53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B7A7C-AF0A-460D-8EF5-C199FB14ACF7}">
  <sheetPr codeName="Feuil1"/>
  <dimension ref="A1:M29"/>
  <sheetViews>
    <sheetView tabSelected="1" zoomScale="90" zoomScaleNormal="90" workbookViewId="0">
      <selection activeCell="B5" sqref="B5"/>
    </sheetView>
  </sheetViews>
  <sheetFormatPr baseColWidth="10" defaultRowHeight="15" x14ac:dyDescent="0.25"/>
  <cols>
    <col min="2" max="2" width="12.08984375" bestFit="1" customWidth="1"/>
    <col min="6" max="6" width="18.54296875" customWidth="1"/>
    <col min="7" max="7" width="20.36328125" customWidth="1"/>
    <col min="8" max="8" width="16.26953125" customWidth="1"/>
    <col min="9" max="9" width="20.54296875" customWidth="1"/>
    <col min="10" max="10" width="35.54296875" customWidth="1"/>
    <col min="11" max="11" width="12.08984375" bestFit="1" customWidth="1"/>
    <col min="12" max="12" width="20" customWidth="1"/>
    <col min="13" max="13" width="21.1796875" customWidth="1"/>
  </cols>
  <sheetData>
    <row r="1" spans="1:13" x14ac:dyDescent="0.25">
      <c r="A1" s="1" t="s">
        <v>0</v>
      </c>
      <c r="B1" s="1">
        <v>0.65</v>
      </c>
    </row>
    <row r="2" spans="1:13" x14ac:dyDescent="0.25">
      <c r="A2" s="1"/>
      <c r="B2" s="1"/>
    </row>
    <row r="3" spans="1:13" x14ac:dyDescent="0.25">
      <c r="A3" s="1" t="s">
        <v>2</v>
      </c>
      <c r="B3" s="1">
        <v>0.32</v>
      </c>
      <c r="H3" s="1" t="s">
        <v>18</v>
      </c>
      <c r="I3" s="1" t="str">
        <f>IFERROR(SQRT(SUMXMY2(I14:I28, H14:H28)/COUNT(I14:I28)), "-")</f>
        <v>-</v>
      </c>
    </row>
    <row r="4" spans="1:13" x14ac:dyDescent="0.25">
      <c r="A4" s="8" t="s">
        <v>3</v>
      </c>
      <c r="B4" s="9">
        <v>0.19</v>
      </c>
      <c r="H4" s="1" t="s">
        <v>19</v>
      </c>
      <c r="I4" s="1" t="str" cm="1">
        <f t="array" aca="1" ref="I4" ca="1">IFERROR(COEFF.DETERMINATION(I14:I28, H14:H28), "-")</f>
        <v>-</v>
      </c>
    </row>
    <row r="5" spans="1:13" x14ac:dyDescent="0.25">
      <c r="A5" s="8" t="s">
        <v>4</v>
      </c>
      <c r="B5" s="9">
        <v>0.13</v>
      </c>
    </row>
    <row r="6" spans="1:13" x14ac:dyDescent="0.25">
      <c r="A6" s="1" t="s">
        <v>5</v>
      </c>
      <c r="B6" s="1">
        <v>2E-3</v>
      </c>
      <c r="E6" s="5"/>
      <c r="F6" s="5"/>
    </row>
    <row r="7" spans="1:13" x14ac:dyDescent="0.25">
      <c r="A7" s="1" t="s">
        <v>6</v>
      </c>
      <c r="B7" s="3">
        <v>2.7999999999999999E-6</v>
      </c>
    </row>
    <row r="8" spans="1:13" x14ac:dyDescent="0.25">
      <c r="A8" s="1" t="s">
        <v>7</v>
      </c>
      <c r="B8" s="1">
        <v>30000</v>
      </c>
    </row>
    <row r="9" spans="1:13" x14ac:dyDescent="0.25">
      <c r="A9" s="8" t="s">
        <v>8</v>
      </c>
      <c r="B9" s="8">
        <v>20</v>
      </c>
    </row>
    <row r="10" spans="1:13" x14ac:dyDescent="0.25">
      <c r="A10" s="8" t="s">
        <v>9</v>
      </c>
      <c r="B10" s="8">
        <v>30</v>
      </c>
      <c r="H10" s="5"/>
    </row>
    <row r="11" spans="1:13" x14ac:dyDescent="0.25">
      <c r="A11" s="1" t="s">
        <v>10</v>
      </c>
      <c r="B11" s="1">
        <v>1.5000000000002002E-3</v>
      </c>
    </row>
    <row r="13" spans="1:13" x14ac:dyDescent="0.25">
      <c r="B13" s="1" t="s">
        <v>20</v>
      </c>
      <c r="C13" s="2" t="s">
        <v>11</v>
      </c>
      <c r="D13" s="2" t="s">
        <v>12</v>
      </c>
      <c r="E13" s="2" t="s">
        <v>13</v>
      </c>
      <c r="F13" s="2" t="s">
        <v>14</v>
      </c>
      <c r="G13" s="2" t="s">
        <v>15</v>
      </c>
      <c r="H13" s="2" t="s">
        <v>17</v>
      </c>
      <c r="I13" s="2" t="s">
        <v>16</v>
      </c>
      <c r="J13" s="2" t="s">
        <v>21</v>
      </c>
      <c r="K13" s="4" t="s">
        <v>1</v>
      </c>
      <c r="L13" s="2" t="s">
        <v>22</v>
      </c>
      <c r="M13" s="2" t="s">
        <v>23</v>
      </c>
    </row>
    <row r="14" spans="1:13" x14ac:dyDescent="0.25">
      <c r="B14" s="1">
        <f>C14*60</f>
        <v>0</v>
      </c>
      <c r="C14" s="1">
        <v>0</v>
      </c>
      <c r="D14" s="1">
        <f>$B$10+($B$9-$B$10)*EXP(-$B$11*B14)</f>
        <v>20</v>
      </c>
      <c r="E14" s="1">
        <f>$B$6</f>
        <v>2E-3</v>
      </c>
      <c r="F14" s="6">
        <f>($B$4-$B$5)*EXP(-$B$1*B14)</f>
        <v>0.06</v>
      </c>
      <c r="G14" s="7" cm="1">
        <f t="array" ref="G14">DeficitCoreComplet($B$4, $B$5, K14, B14, E14)</f>
        <v>0.06</v>
      </c>
      <c r="H14" s="7">
        <f>$B$4-(0.15*F14+0.85*G14)</f>
        <v>0.13</v>
      </c>
      <c r="I14" s="1"/>
      <c r="J14" s="1">
        <f>6/(PI()^2)*EXP(-PI()^2*(K14*B14)/(E14)^2)</f>
        <v>0.60792710185402665</v>
      </c>
      <c r="K14" s="1">
        <f>$B$7*EXP(-$B$8/(8.314*(D14+273)))</f>
        <v>1.2551863620821917E-11</v>
      </c>
      <c r="L14" s="1"/>
      <c r="M14" s="1"/>
    </row>
    <row r="15" spans="1:13" x14ac:dyDescent="0.25">
      <c r="B15" s="1">
        <f t="shared" ref="B15:B29" si="0">C15*60</f>
        <v>300</v>
      </c>
      <c r="C15" s="1">
        <v>5</v>
      </c>
      <c r="D15" s="1">
        <f t="shared" ref="D15:D29" si="1">$B$10+($B$9-$B$10)*EXP(-$B$11*B15)</f>
        <v>23.62371848378265</v>
      </c>
      <c r="E15" s="1">
        <f>$B$6*(1+$B$3*(H14-$B$5)/100)</f>
        <v>2E-3</v>
      </c>
      <c r="F15" s="6">
        <f t="shared" ref="F15:F28" si="2">($B$4-$B$5)*EXP(-$B$1*B15)</f>
        <v>1.2323307324244954E-86</v>
      </c>
      <c r="G15" s="7" cm="1">
        <f t="array" ref="G15">DeficitCoreComplet($B$4, $B$5, K15, B15, E15)</f>
        <v>5.3478310268253643E-2</v>
      </c>
      <c r="H15" s="7">
        <f t="shared" ref="H15:H28" si="3">$B$4-(0.15*F15+0.85*G15)</f>
        <v>0.1445434362719844</v>
      </c>
      <c r="I15" s="1"/>
      <c r="J15" s="1">
        <f t="shared" ref="J15:J28" si="4">6/(PI()^2)*EXP(-PI()^2*(K15*B15)/(E15)^2)</f>
        <v>0.61452806868268406</v>
      </c>
      <c r="K15" s="1">
        <f t="shared" ref="K15:K28" si="5">$B$7*EXP(-$B$8/(8.314*(D15+273)))</f>
        <v>1.4589748866758405E-11</v>
      </c>
      <c r="L15" s="1"/>
      <c r="M15" s="1"/>
    </row>
    <row r="16" spans="1:13" x14ac:dyDescent="0.25">
      <c r="B16" s="1">
        <f t="shared" si="0"/>
        <v>600</v>
      </c>
      <c r="C16" s="1">
        <v>10</v>
      </c>
      <c r="D16" s="1">
        <f t="shared" si="1"/>
        <v>25.934303402594498</v>
      </c>
      <c r="E16" s="1">
        <f t="shared" ref="E16:E29" si="6">$B$6*(1+$B$3*(H15-$B$5)/100)</f>
        <v>2.0000930779921411E-3</v>
      </c>
      <c r="F16" s="6">
        <f t="shared" si="2"/>
        <v>2.5310650567964893E-171</v>
      </c>
      <c r="G16" s="7" cm="1">
        <f t="array" ref="G16">DeficitCoreComplet($B$4, $B$5, K16, B16, E16)</f>
        <v>5.0474205329272298E-2</v>
      </c>
      <c r="H16" s="7">
        <f t="shared" si="3"/>
        <v>0.14709692547011854</v>
      </c>
      <c r="I16" s="1"/>
      <c r="J16" s="1">
        <f t="shared" si="4"/>
        <v>0.6225235619458801</v>
      </c>
      <c r="K16" s="1">
        <f t="shared" si="5"/>
        <v>1.6028139952958239E-11</v>
      </c>
      <c r="L16" s="1"/>
      <c r="M16" s="1"/>
    </row>
    <row r="17" spans="2:13" x14ac:dyDescent="0.25">
      <c r="B17" s="1">
        <f t="shared" si="0"/>
        <v>900</v>
      </c>
      <c r="C17" s="1">
        <v>15</v>
      </c>
      <c r="D17" s="1">
        <f t="shared" si="1"/>
        <v>27.40759739354155</v>
      </c>
      <c r="E17" s="1">
        <f t="shared" si="6"/>
        <v>2.000109420323009E-3</v>
      </c>
      <c r="F17" s="6">
        <f t="shared" si="2"/>
        <v>5.1985154254267746E-256</v>
      </c>
      <c r="G17" s="7" cm="1">
        <f t="array" ref="G17">DeficitCoreComplet($B$4, $B$5, K17, B17, E17)</f>
        <v>4.8125706307699259E-2</v>
      </c>
      <c r="H17" s="7">
        <f t="shared" si="3"/>
        <v>0.14909314963845563</v>
      </c>
      <c r="I17" s="1"/>
      <c r="J17" s="1">
        <f t="shared" si="4"/>
        <v>0.63132109452025231</v>
      </c>
      <c r="K17" s="1">
        <f t="shared" si="5"/>
        <v>1.7005636910840299E-11</v>
      </c>
      <c r="L17" s="1"/>
      <c r="M17" s="1"/>
    </row>
    <row r="18" spans="2:13" x14ac:dyDescent="0.25">
      <c r="B18" s="1">
        <f t="shared" si="0"/>
        <v>1200</v>
      </c>
      <c r="C18" s="1">
        <v>20</v>
      </c>
      <c r="D18" s="1">
        <f t="shared" si="1"/>
        <v>28.347011117784533</v>
      </c>
      <c r="E18" s="1">
        <f t="shared" si="6"/>
        <v>2.0001221961576865E-3</v>
      </c>
      <c r="F18" s="6">
        <f t="shared" si="2"/>
        <v>0</v>
      </c>
      <c r="G18" s="7" cm="1">
        <f t="array" ref="G18">DeficitCoreComplet($B$4, $B$5, K18, B18, E18)</f>
        <v>4.6172725558504053E-2</v>
      </c>
      <c r="H18" s="7">
        <f t="shared" si="3"/>
        <v>0.15075318327527154</v>
      </c>
      <c r="I18" s="1"/>
      <c r="J18" s="1">
        <f t="shared" si="4"/>
        <v>0.64054630213870811</v>
      </c>
      <c r="K18" s="1">
        <f t="shared" si="5"/>
        <v>1.7654479907979695E-11</v>
      </c>
      <c r="L18" s="1"/>
      <c r="M18" s="1"/>
    </row>
    <row r="19" spans="2:13" x14ac:dyDescent="0.25">
      <c r="B19" s="1">
        <f t="shared" si="0"/>
        <v>1800</v>
      </c>
      <c r="C19" s="1">
        <v>30</v>
      </c>
      <c r="D19" s="1">
        <f t="shared" si="1"/>
        <v>29.327944872602746</v>
      </c>
      <c r="E19" s="1">
        <f t="shared" si="6"/>
        <v>2.0001328203729618E-3</v>
      </c>
      <c r="F19" s="6">
        <f t="shared" si="2"/>
        <v>0</v>
      </c>
      <c r="G19" s="7" cm="1">
        <f t="array" ref="G19">DeficitCoreComplet($B$4, $B$5, K19, B19, E19)</f>
        <v>4.3029135670511781E-2</v>
      </c>
      <c r="H19" s="7">
        <f t="shared" si="3"/>
        <v>0.153425234680065</v>
      </c>
      <c r="I19" s="1"/>
      <c r="J19" s="1">
        <f t="shared" si="4"/>
        <v>0.65955121890330881</v>
      </c>
      <c r="K19" s="1">
        <f t="shared" si="5"/>
        <v>1.8353877980793282E-11</v>
      </c>
      <c r="L19" s="1"/>
      <c r="M19" s="1"/>
    </row>
    <row r="20" spans="2:13" x14ac:dyDescent="0.25">
      <c r="B20" s="1">
        <f t="shared" si="0"/>
        <v>3600</v>
      </c>
      <c r="C20" s="1">
        <v>60</v>
      </c>
      <c r="D20" s="1">
        <f t="shared" si="1"/>
        <v>29.954834190573905</v>
      </c>
      <c r="E20" s="1">
        <f t="shared" si="6"/>
        <v>2.0001499215019525E-3</v>
      </c>
      <c r="F20" s="6">
        <f t="shared" si="2"/>
        <v>0</v>
      </c>
      <c r="G20" s="7" cm="1">
        <f t="array" ref="G20">DeficitCoreComplet($B$4, $B$5, K20, B20, E20)</f>
        <v>3.6620508662970452E-2</v>
      </c>
      <c r="H20" s="7">
        <f t="shared" si="3"/>
        <v>0.15887256763647511</v>
      </c>
      <c r="I20" s="1"/>
      <c r="J20" s="1">
        <f t="shared" si="4"/>
        <v>0.71847967237288968</v>
      </c>
      <c r="K20" s="1">
        <f t="shared" si="5"/>
        <v>1.8812809313722772E-11</v>
      </c>
      <c r="L20" s="1"/>
      <c r="M20" s="1"/>
    </row>
    <row r="21" spans="2:13" x14ac:dyDescent="0.25">
      <c r="B21" s="1">
        <f t="shared" si="0"/>
        <v>7200</v>
      </c>
      <c r="C21" s="1">
        <v>120</v>
      </c>
      <c r="D21" s="1">
        <f t="shared" si="1"/>
        <v>29.999796004965887</v>
      </c>
      <c r="E21" s="1">
        <f t="shared" si="6"/>
        <v>2.0001847844328732E-3</v>
      </c>
      <c r="F21" s="6">
        <f t="shared" si="2"/>
        <v>0</v>
      </c>
      <c r="G21" s="7" cm="1">
        <f t="array" ref="G21">DeficitCoreComplet($B$4, $B$5, K21, B21, E21)</f>
        <v>2.8699604254706242E-2</v>
      </c>
      <c r="H21" s="7">
        <f t="shared" si="3"/>
        <v>0.1656053363834997</v>
      </c>
      <c r="I21" s="1"/>
      <c r="J21" s="1">
        <f t="shared" si="4"/>
        <v>0.84962859422532777</v>
      </c>
      <c r="K21" s="1">
        <f t="shared" si="5"/>
        <v>1.8846088472221287E-11</v>
      </c>
      <c r="L21" s="1"/>
      <c r="M21" s="1"/>
    </row>
    <row r="22" spans="2:13" x14ac:dyDescent="0.25">
      <c r="B22" s="1">
        <f t="shared" si="0"/>
        <v>14400</v>
      </c>
      <c r="C22" s="1">
        <v>240</v>
      </c>
      <c r="D22" s="1">
        <f t="shared" si="1"/>
        <v>29.999999995838603</v>
      </c>
      <c r="E22" s="1">
        <f t="shared" si="6"/>
        <v>2.0002278741528545E-3</v>
      </c>
      <c r="F22" s="6">
        <f t="shared" si="2"/>
        <v>0</v>
      </c>
      <c r="G22" s="7" cm="1">
        <f t="array" ref="G22">DeficitCoreComplet($B$4, $B$5, K22, B22, E22)</f>
        <v>1.9311282724543626E-2</v>
      </c>
      <c r="H22" s="7">
        <f t="shared" si="3"/>
        <v>0.17358540968413791</v>
      </c>
      <c r="I22" s="1"/>
      <c r="J22" s="1">
        <f t="shared" si="4"/>
        <v>1.187398618592524</v>
      </c>
      <c r="K22" s="1">
        <f t="shared" si="5"/>
        <v>1.8846239570658439E-11</v>
      </c>
      <c r="L22" s="1"/>
      <c r="M22" s="1"/>
    </row>
    <row r="23" spans="2:13" x14ac:dyDescent="0.25">
      <c r="B23" s="1">
        <f t="shared" si="0"/>
        <v>21600</v>
      </c>
      <c r="C23" s="1">
        <v>360</v>
      </c>
      <c r="D23" s="1">
        <f t="shared" si="1"/>
        <v>29.999999999999915</v>
      </c>
      <c r="E23" s="1">
        <f t="shared" si="6"/>
        <v>2.0002789466219786E-3</v>
      </c>
      <c r="F23" s="6">
        <f t="shared" si="2"/>
        <v>0</v>
      </c>
      <c r="G23" s="7" cm="1">
        <f t="array" ref="G23">DeficitCoreComplet($B$4, $B$5, K23, B23, E23)</f>
        <v>1.3527861224689904E-2</v>
      </c>
      <c r="H23" s="7">
        <f t="shared" si="3"/>
        <v>0.17850131795901358</v>
      </c>
      <c r="I23" s="1"/>
      <c r="J23" s="1">
        <f t="shared" si="4"/>
        <v>1.6593835725133854</v>
      </c>
      <c r="K23" s="1">
        <f t="shared" si="5"/>
        <v>1.8846239573740756E-11</v>
      </c>
      <c r="L23" s="1"/>
      <c r="M23" s="1"/>
    </row>
    <row r="24" spans="2:13" x14ac:dyDescent="0.25">
      <c r="B24" s="1">
        <f t="shared" si="0"/>
        <v>28800</v>
      </c>
      <c r="C24" s="1">
        <v>480</v>
      </c>
      <c r="D24" s="1">
        <f t="shared" si="1"/>
        <v>30</v>
      </c>
      <c r="E24" s="1">
        <f t="shared" si="6"/>
        <v>2.0003104084349377E-3</v>
      </c>
      <c r="F24" s="6">
        <f t="shared" si="2"/>
        <v>0</v>
      </c>
      <c r="G24" s="7" cm="1">
        <f t="array" ref="G24">DeficitCoreComplet($B$4, $B$5, K24, B24, E24)</f>
        <v>9.605356365782412E-3</v>
      </c>
      <c r="H24" s="7">
        <f t="shared" si="3"/>
        <v>0.18183544708908495</v>
      </c>
      <c r="I24" s="1"/>
      <c r="J24" s="1">
        <f t="shared" si="4"/>
        <v>2.3189617718751339</v>
      </c>
      <c r="K24" s="1">
        <f t="shared" si="5"/>
        <v>1.8846239573740824E-11</v>
      </c>
      <c r="L24" s="1"/>
      <c r="M24" s="1"/>
    </row>
    <row r="25" spans="2:13" x14ac:dyDescent="0.25">
      <c r="B25" s="1">
        <f t="shared" si="0"/>
        <v>32400</v>
      </c>
      <c r="C25" s="1">
        <v>540</v>
      </c>
      <c r="D25" s="1">
        <f t="shared" si="1"/>
        <v>30</v>
      </c>
      <c r="E25" s="1">
        <f t="shared" si="6"/>
        <v>2.0003317468613702E-3</v>
      </c>
      <c r="F25" s="6">
        <f t="shared" si="2"/>
        <v>0</v>
      </c>
      <c r="G25" s="7" cm="1">
        <f t="array" ref="G25">DeficitCoreComplet($B$4, $B$5, K25, B25, E25)</f>
        <v>8.111051624100191E-3</v>
      </c>
      <c r="H25" s="7">
        <f t="shared" si="3"/>
        <v>0.18310560611951485</v>
      </c>
      <c r="I25" s="1"/>
      <c r="J25" s="1">
        <f t="shared" si="4"/>
        <v>2.7413210082814388</v>
      </c>
      <c r="K25" s="1">
        <f t="shared" si="5"/>
        <v>1.8846239573740824E-11</v>
      </c>
      <c r="L25" s="1"/>
      <c r="M25" s="1"/>
    </row>
    <row r="26" spans="2:13" x14ac:dyDescent="0.25">
      <c r="B26" s="1">
        <f t="shared" si="0"/>
        <v>43200</v>
      </c>
      <c r="C26" s="1">
        <v>720</v>
      </c>
      <c r="D26" s="1">
        <f t="shared" si="1"/>
        <v>30</v>
      </c>
      <c r="E26" s="1">
        <f t="shared" si="6"/>
        <v>2.0003398758791651E-3</v>
      </c>
      <c r="F26" s="6">
        <f t="shared" si="2"/>
        <v>0</v>
      </c>
      <c r="G26" s="7" cm="1">
        <f t="array" ref="G26">DeficitCoreComplet($B$4, $B$5, K26, B26, E26)</f>
        <v>4.8992303667322419E-3</v>
      </c>
      <c r="H26" s="7">
        <f t="shared" si="3"/>
        <v>0.1858356541882776</v>
      </c>
      <c r="I26" s="1"/>
      <c r="J26" s="1">
        <f t="shared" si="4"/>
        <v>4.5288604176456158</v>
      </c>
      <c r="K26" s="1">
        <f t="shared" si="5"/>
        <v>1.8846239573740824E-11</v>
      </c>
      <c r="L26" s="1"/>
      <c r="M26" s="1"/>
    </row>
    <row r="27" spans="2:13" x14ac:dyDescent="0.25">
      <c r="B27" s="1">
        <f t="shared" si="0"/>
        <v>50400</v>
      </c>
      <c r="C27" s="1">
        <v>840</v>
      </c>
      <c r="D27" s="1">
        <f t="shared" si="1"/>
        <v>30</v>
      </c>
      <c r="E27" s="1">
        <f t="shared" si="6"/>
        <v>2.0003573481868048E-3</v>
      </c>
      <c r="F27" s="6">
        <f t="shared" si="2"/>
        <v>0</v>
      </c>
      <c r="G27" s="7" cm="1">
        <f t="array" ref="G27">DeficitCoreComplet($B$4, $B$5, K27, B27, E27)</f>
        <v>3.5044758990540148E-3</v>
      </c>
      <c r="H27" s="7">
        <f t="shared" si="3"/>
        <v>0.18702119548580409</v>
      </c>
      <c r="I27" s="1"/>
      <c r="J27" s="1">
        <f t="shared" si="4"/>
        <v>6.3288878426021924</v>
      </c>
      <c r="K27" s="1">
        <f t="shared" si="5"/>
        <v>1.8846239573740824E-11</v>
      </c>
      <c r="L27" s="1"/>
      <c r="M27" s="1"/>
    </row>
    <row r="28" spans="2:13" x14ac:dyDescent="0.25">
      <c r="B28" s="1">
        <f t="shared" si="0"/>
        <v>57600</v>
      </c>
      <c r="C28" s="1">
        <v>960</v>
      </c>
      <c r="D28" s="1">
        <f t="shared" si="1"/>
        <v>30</v>
      </c>
      <c r="E28" s="1">
        <f t="shared" si="6"/>
        <v>2.0003649356511092E-3</v>
      </c>
      <c r="F28" s="6">
        <f t="shared" si="2"/>
        <v>0</v>
      </c>
      <c r="G28" s="7" cm="1">
        <f t="array" ref="G28">DeficitCoreComplet($B$4, $B$5, K28, B28, E28)</f>
        <v>2.5073631566766034E-3</v>
      </c>
      <c r="H28" s="7">
        <f t="shared" si="3"/>
        <v>0.18786874131682488</v>
      </c>
      <c r="I28" s="1"/>
      <c r="J28" s="1">
        <f t="shared" si="4"/>
        <v>8.8444794519289935</v>
      </c>
      <c r="K28" s="1">
        <f t="shared" si="5"/>
        <v>1.8846239573740824E-11</v>
      </c>
      <c r="L28" s="1"/>
      <c r="M28" s="1"/>
    </row>
    <row r="29" spans="2:13" x14ac:dyDescent="0.25">
      <c r="B29" s="1">
        <f t="shared" si="0"/>
        <v>67200</v>
      </c>
      <c r="C29" s="1">
        <v>1120</v>
      </c>
      <c r="D29" s="1">
        <f t="shared" si="1"/>
        <v>30</v>
      </c>
      <c r="E29" s="1">
        <f t="shared" si="6"/>
        <v>2.000370359944428E-3</v>
      </c>
      <c r="F29" s="6">
        <f t="shared" ref="F29" si="7">($B$4-$B$5)*EXP(-$B$1*B29)</f>
        <v>0</v>
      </c>
      <c r="G29" s="7" cm="1">
        <f t="array" ref="G29">DeficitCoreComplet($B$4, $B$5, K29, B29, E29)</f>
        <v>1.6047046924961643E-3</v>
      </c>
      <c r="H29" s="7">
        <f t="shared" ref="H29" si="8">$B$4-(0.15*F29+0.85*G29)</f>
        <v>0.18863600101137826</v>
      </c>
      <c r="I29" s="1"/>
      <c r="J29" s="1">
        <f t="shared" ref="J29" si="9">6/(PI()^2)*EXP(-PI()^2*(K29*B29)/(E29)^2)</f>
        <v>13.818737974424865</v>
      </c>
      <c r="K29" s="1">
        <f t="shared" ref="K29" si="10">$B$7*EXP(-$B$8/(8.314*(D29+273)))</f>
        <v>1.8846239573740824E-11</v>
      </c>
      <c r="L29" s="1"/>
      <c r="M29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Adn Atm</dc:creator>
  <cp:lastModifiedBy>Adn Atm</cp:lastModifiedBy>
  <dcterms:created xsi:type="dcterms:W3CDTF">2026-07-19T20:11:09Z</dcterms:created>
  <dcterms:modified xsi:type="dcterms:W3CDTF">2026-08-08T20:13:55Z</dcterms:modified>
</cp:coreProperties>
</file>